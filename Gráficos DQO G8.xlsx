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avid\OneDrive\Documentos\EAFIT\Tesis de grado\AQUAFUNGI G8\Datos y scripts de gráficos\"/>
    </mc:Choice>
  </mc:AlternateContent>
  <xr:revisionPtr revIDLastSave="0" documentId="13_ncr:1_{5E59316B-8FC6-4C46-AC9A-EA7A01E1D4C8}" xr6:coauthVersionLast="47" xr6:coauthVersionMax="47" xr10:uidLastSave="{00000000-0000-0000-0000-000000000000}"/>
  <bookViews>
    <workbookView xWindow="-98" yWindow="-98" windowWidth="21795" windowHeight="12975" firstSheet="2" activeTab="8" xr2:uid="{00000000-000D-0000-FFFF-FFFF00000000}"/>
  </bookViews>
  <sheets>
    <sheet name="PLDJ 2025" sheetId="5" r:id="rId1"/>
    <sheet name="PLDJ 2025 LMM" sheetId="1" r:id="rId2"/>
    <sheet name="PHAD" sheetId="6" r:id="rId3"/>
    <sheet name="PHAD LMM" sheetId="7" r:id="rId4"/>
    <sheet name="PLER 2026-2" sheetId="3" r:id="rId5"/>
    <sheet name="PLER 2026-2 LM" sheetId="8" r:id="rId6"/>
    <sheet name="PYSA" sheetId="4" r:id="rId7"/>
    <sheet name="PYSA LM" sheetId="9" r:id="rId8"/>
    <sheet name="UNIFICADO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0" l="1"/>
  <c r="E20" i="10"/>
  <c r="E11" i="10"/>
  <c r="E10" i="10"/>
  <c r="E7" i="10"/>
  <c r="E6" i="10"/>
  <c r="E5" i="10"/>
  <c r="E4" i="10"/>
  <c r="E3" i="10"/>
  <c r="G9" i="9"/>
  <c r="G8" i="9"/>
  <c r="G5" i="9"/>
  <c r="G4" i="9"/>
  <c r="G3" i="9"/>
  <c r="G2" i="9"/>
  <c r="G9" i="8"/>
  <c r="G8" i="8"/>
  <c r="G5" i="8"/>
  <c r="G4" i="8"/>
  <c r="G3" i="8"/>
  <c r="G2" i="8"/>
  <c r="E9" i="3"/>
  <c r="E8" i="3"/>
  <c r="E5" i="3"/>
  <c r="E4" i="3"/>
  <c r="E3" i="3"/>
  <c r="E2" i="3"/>
  <c r="E2" i="4"/>
  <c r="E3" i="4"/>
  <c r="E4" i="4"/>
  <c r="E5" i="4"/>
  <c r="E8" i="4"/>
  <c r="E9" i="4"/>
  <c r="G7" i="7"/>
  <c r="G6" i="7"/>
  <c r="G5" i="7"/>
  <c r="G4" i="7"/>
  <c r="G3" i="7"/>
  <c r="D7" i="6"/>
  <c r="D6" i="6"/>
  <c r="D5" i="6"/>
  <c r="D4" i="6"/>
  <c r="D3" i="6"/>
</calcChain>
</file>

<file path=xl/sharedStrings.xml><?xml version="1.0" encoding="utf-8"?>
<sst xmlns="http://schemas.openxmlformats.org/spreadsheetml/2006/main" count="219" uniqueCount="16">
  <si>
    <t>Species</t>
  </si>
  <si>
    <t>Media</t>
  </si>
  <si>
    <t>Treatment</t>
  </si>
  <si>
    <t>pH</t>
  </si>
  <si>
    <t>Time (days)</t>
  </si>
  <si>
    <t>Pleurotus djamor #1</t>
  </si>
  <si>
    <t>Value</t>
  </si>
  <si>
    <t>Whey</t>
  </si>
  <si>
    <t>Replicate</t>
  </si>
  <si>
    <t>Pholiota adiposa</t>
  </si>
  <si>
    <t>a</t>
  </si>
  <si>
    <t>c</t>
  </si>
  <si>
    <t>b</t>
  </si>
  <si>
    <t>Pycnoporus sanguineus</t>
  </si>
  <si>
    <t>x</t>
  </si>
  <si>
    <t>Pleurotus eryngii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</si>
</sst>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BCCF-B423-411D-BB08-0152C452B813}">
  <dimension ref="A1:D9"/>
  <sheetViews>
    <sheetView workbookViewId="0">
      <selection activeCell="A2" sqref="A2:D7"/>
    </sheetView>
  </sheetViews>
  <sheetFormatPr baseColWidth="10" defaultColWidth="9.06640625" defaultRowHeight="14.25" x14ac:dyDescent="0.45"/>
  <sheetData>
    <row r="1" spans="1:4" x14ac:dyDescent="0.45">
      <c r="A1" t="s">
        <v>0</v>
      </c>
      <c r="B1" t="s">
        <v>2</v>
      </c>
      <c r="C1" t="s">
        <v>4</v>
      </c>
      <c r="D1" t="s">
        <v>6</v>
      </c>
    </row>
    <row r="2" spans="1:4" x14ac:dyDescent="0.45">
      <c r="A2" s="1" t="s">
        <v>5</v>
      </c>
      <c r="B2">
        <v>9</v>
      </c>
      <c r="C2">
        <v>1</v>
      </c>
      <c r="D2">
        <v>56500</v>
      </c>
    </row>
    <row r="3" spans="1:4" x14ac:dyDescent="0.45">
      <c r="A3" s="1" t="s">
        <v>5</v>
      </c>
      <c r="B3">
        <v>9</v>
      </c>
      <c r="C3">
        <v>3</v>
      </c>
      <c r="D3">
        <v>55900</v>
      </c>
    </row>
    <row r="4" spans="1:4" x14ac:dyDescent="0.45">
      <c r="A4" s="1" t="s">
        <v>5</v>
      </c>
      <c r="B4">
        <v>9</v>
      </c>
      <c r="C4">
        <v>6</v>
      </c>
      <c r="D4">
        <v>55400</v>
      </c>
    </row>
    <row r="5" spans="1:4" x14ac:dyDescent="0.45">
      <c r="A5" s="1" t="s">
        <v>5</v>
      </c>
      <c r="B5">
        <v>9</v>
      </c>
      <c r="C5">
        <v>9</v>
      </c>
      <c r="D5">
        <v>56700</v>
      </c>
    </row>
    <row r="6" spans="1:4" x14ac:dyDescent="0.45">
      <c r="A6" s="1" t="s">
        <v>5</v>
      </c>
      <c r="B6">
        <v>9</v>
      </c>
      <c r="C6">
        <v>13</v>
      </c>
      <c r="D6">
        <v>81300</v>
      </c>
    </row>
    <row r="7" spans="1:4" x14ac:dyDescent="0.45">
      <c r="A7" s="1" t="s">
        <v>5</v>
      </c>
      <c r="B7">
        <v>9</v>
      </c>
      <c r="C7">
        <v>16</v>
      </c>
      <c r="D7">
        <v>56100</v>
      </c>
    </row>
    <row r="8" spans="1:4" x14ac:dyDescent="0.45">
      <c r="A8" s="1" t="s">
        <v>5</v>
      </c>
      <c r="B8" t="s">
        <v>7</v>
      </c>
      <c r="C8">
        <v>0</v>
      </c>
      <c r="D8">
        <v>61740</v>
      </c>
    </row>
    <row r="9" spans="1:4" x14ac:dyDescent="0.45">
      <c r="A9" s="1" t="s">
        <v>5</v>
      </c>
      <c r="B9" t="s">
        <v>7</v>
      </c>
      <c r="C9">
        <v>16</v>
      </c>
      <c r="D9">
        <v>61740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E21" sqref="E21"/>
    </sheetView>
  </sheetViews>
  <sheetFormatPr baseColWidth="10" defaultColWidth="9.06640625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6</v>
      </c>
    </row>
    <row r="2" spans="1:7" x14ac:dyDescent="0.45">
      <c r="A2" s="1" t="s">
        <v>5</v>
      </c>
      <c r="B2">
        <v>1</v>
      </c>
      <c r="C2">
        <v>9</v>
      </c>
      <c r="D2">
        <v>6</v>
      </c>
      <c r="E2">
        <v>0</v>
      </c>
      <c r="F2" t="s">
        <v>12</v>
      </c>
      <c r="G2">
        <v>61740</v>
      </c>
    </row>
    <row r="3" spans="1:7" x14ac:dyDescent="0.45">
      <c r="A3" s="1" t="s">
        <v>5</v>
      </c>
      <c r="B3">
        <v>1</v>
      </c>
      <c r="C3">
        <v>9</v>
      </c>
      <c r="D3">
        <v>6</v>
      </c>
      <c r="E3">
        <v>1</v>
      </c>
      <c r="F3" t="s">
        <v>12</v>
      </c>
      <c r="G3">
        <v>56500</v>
      </c>
    </row>
    <row r="4" spans="1:7" x14ac:dyDescent="0.45">
      <c r="A4" s="1" t="s">
        <v>5</v>
      </c>
      <c r="B4">
        <v>1</v>
      </c>
      <c r="C4">
        <v>9</v>
      </c>
      <c r="D4">
        <v>6</v>
      </c>
      <c r="E4">
        <v>3</v>
      </c>
      <c r="F4" t="s">
        <v>10</v>
      </c>
      <c r="G4">
        <v>55900</v>
      </c>
    </row>
    <row r="5" spans="1:7" x14ac:dyDescent="0.45">
      <c r="A5" s="1" t="s">
        <v>5</v>
      </c>
      <c r="B5">
        <v>1</v>
      </c>
      <c r="C5">
        <v>9</v>
      </c>
      <c r="D5">
        <v>6</v>
      </c>
      <c r="E5">
        <v>6</v>
      </c>
      <c r="F5" t="s">
        <v>10</v>
      </c>
      <c r="G5">
        <v>55400</v>
      </c>
    </row>
    <row r="6" spans="1:7" x14ac:dyDescent="0.45">
      <c r="A6" s="1" t="s">
        <v>5</v>
      </c>
      <c r="B6">
        <v>1</v>
      </c>
      <c r="C6" t="s">
        <v>7</v>
      </c>
      <c r="D6">
        <v>5.0999999999999996</v>
      </c>
      <c r="E6">
        <v>0</v>
      </c>
      <c r="F6" t="s">
        <v>14</v>
      </c>
      <c r="G6">
        <v>61740</v>
      </c>
    </row>
    <row r="7" spans="1:7" x14ac:dyDescent="0.45">
      <c r="A7" s="1" t="s">
        <v>5</v>
      </c>
      <c r="B7">
        <v>1</v>
      </c>
      <c r="C7" t="s">
        <v>7</v>
      </c>
      <c r="D7">
        <v>5.0999999999999996</v>
      </c>
      <c r="E7">
        <v>16</v>
      </c>
      <c r="F7" t="s">
        <v>14</v>
      </c>
      <c r="G7">
        <v>61740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681C-694E-41C6-9088-9AFFC00FA706}">
  <dimension ref="A1:D9"/>
  <sheetViews>
    <sheetView workbookViewId="0">
      <selection sqref="A1:D9"/>
    </sheetView>
  </sheetViews>
  <sheetFormatPr baseColWidth="10" defaultRowHeight="14.25" x14ac:dyDescent="0.45"/>
  <sheetData>
    <row r="1" spans="1:4" x14ac:dyDescent="0.45">
      <c r="A1" t="s">
        <v>0</v>
      </c>
      <c r="B1" t="s">
        <v>2</v>
      </c>
      <c r="C1" t="s">
        <v>4</v>
      </c>
      <c r="D1" t="s">
        <v>6</v>
      </c>
    </row>
    <row r="2" spans="1:4" x14ac:dyDescent="0.45">
      <c r="A2" s="1" t="s">
        <v>9</v>
      </c>
      <c r="B2">
        <v>9</v>
      </c>
      <c r="C2">
        <v>0</v>
      </c>
      <c r="D2">
        <v>61740</v>
      </c>
    </row>
    <row r="3" spans="1:4" x14ac:dyDescent="0.45">
      <c r="A3" s="1" t="s">
        <v>9</v>
      </c>
      <c r="B3">
        <v>9</v>
      </c>
      <c r="C3">
        <v>1</v>
      </c>
      <c r="D3">
        <f>1156*10*5</f>
        <v>57800</v>
      </c>
    </row>
    <row r="4" spans="1:4" x14ac:dyDescent="0.45">
      <c r="A4" s="1" t="s">
        <v>9</v>
      </c>
      <c r="B4">
        <v>9</v>
      </c>
      <c r="C4">
        <v>4</v>
      </c>
      <c r="D4">
        <f>1129*10*5</f>
        <v>56450</v>
      </c>
    </row>
    <row r="5" spans="1:4" x14ac:dyDescent="0.45">
      <c r="A5" s="1" t="s">
        <v>9</v>
      </c>
      <c r="B5">
        <v>9</v>
      </c>
      <c r="C5">
        <v>8</v>
      </c>
      <c r="D5">
        <f>1026*10*5</f>
        <v>51300</v>
      </c>
    </row>
    <row r="6" spans="1:4" x14ac:dyDescent="0.45">
      <c r="A6" s="1" t="s">
        <v>9</v>
      </c>
      <c r="B6">
        <v>9</v>
      </c>
      <c r="C6">
        <v>11</v>
      </c>
      <c r="D6">
        <f>1029*10*5</f>
        <v>51450</v>
      </c>
    </row>
    <row r="7" spans="1:4" x14ac:dyDescent="0.45">
      <c r="A7" s="1" t="s">
        <v>9</v>
      </c>
      <c r="B7">
        <v>9</v>
      </c>
      <c r="C7">
        <v>14</v>
      </c>
      <c r="D7">
        <f>964*10*5</f>
        <v>48200</v>
      </c>
    </row>
    <row r="8" spans="1:4" x14ac:dyDescent="0.45">
      <c r="A8" s="1" t="s">
        <v>9</v>
      </c>
      <c r="B8" t="s">
        <v>7</v>
      </c>
      <c r="C8">
        <v>0</v>
      </c>
      <c r="D8">
        <v>61740</v>
      </c>
    </row>
    <row r="9" spans="1:4" x14ac:dyDescent="0.45">
      <c r="A9" s="1" t="s">
        <v>9</v>
      </c>
      <c r="B9" t="s">
        <v>7</v>
      </c>
      <c r="C9">
        <v>14</v>
      </c>
      <c r="D9">
        <v>61740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0165-BAD0-4532-B13F-AB02F322C732}">
  <dimension ref="A1:G7"/>
  <sheetViews>
    <sheetView workbookViewId="0">
      <selection activeCell="D10" sqref="D10:E12"/>
    </sheetView>
  </sheetViews>
  <sheetFormatPr baseColWidth="10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6</v>
      </c>
    </row>
    <row r="2" spans="1:7" x14ac:dyDescent="0.45">
      <c r="A2" s="1" t="s">
        <v>9</v>
      </c>
      <c r="B2">
        <v>1</v>
      </c>
      <c r="C2">
        <v>9</v>
      </c>
      <c r="D2">
        <v>5.0999999999999996</v>
      </c>
      <c r="E2">
        <v>0</v>
      </c>
      <c r="F2" t="s">
        <v>14</v>
      </c>
      <c r="G2">
        <v>61740</v>
      </c>
    </row>
    <row r="3" spans="1:7" x14ac:dyDescent="0.45">
      <c r="A3" s="1" t="s">
        <v>9</v>
      </c>
      <c r="B3">
        <v>1</v>
      </c>
      <c r="C3">
        <v>9</v>
      </c>
      <c r="D3">
        <v>5.0999999999999996</v>
      </c>
      <c r="E3">
        <v>1</v>
      </c>
      <c r="F3" t="s">
        <v>10</v>
      </c>
      <c r="G3">
        <f>1156*10*5</f>
        <v>57800</v>
      </c>
    </row>
    <row r="4" spans="1:7" x14ac:dyDescent="0.45">
      <c r="A4" s="1" t="s">
        <v>9</v>
      </c>
      <c r="B4">
        <v>1</v>
      </c>
      <c r="C4">
        <v>9</v>
      </c>
      <c r="D4">
        <v>5.0999999999999996</v>
      </c>
      <c r="E4">
        <v>4</v>
      </c>
      <c r="F4" t="s">
        <v>11</v>
      </c>
      <c r="G4">
        <f>1129*10*5</f>
        <v>56450</v>
      </c>
    </row>
    <row r="5" spans="1:7" x14ac:dyDescent="0.45">
      <c r="A5" s="1" t="s">
        <v>9</v>
      </c>
      <c r="B5">
        <v>1</v>
      </c>
      <c r="C5">
        <v>9</v>
      </c>
      <c r="D5">
        <v>5.0999999999999996</v>
      </c>
      <c r="E5">
        <v>8</v>
      </c>
      <c r="F5" t="s">
        <v>11</v>
      </c>
      <c r="G5">
        <f>1026*10*5</f>
        <v>51300</v>
      </c>
    </row>
    <row r="6" spans="1:7" x14ac:dyDescent="0.45">
      <c r="A6" s="1" t="s">
        <v>9</v>
      </c>
      <c r="B6">
        <v>1</v>
      </c>
      <c r="C6">
        <v>9</v>
      </c>
      <c r="D6">
        <v>5.0999999999999996</v>
      </c>
      <c r="E6">
        <v>11</v>
      </c>
      <c r="F6" t="s">
        <v>11</v>
      </c>
      <c r="G6">
        <f>1029*10*5</f>
        <v>51450</v>
      </c>
    </row>
    <row r="7" spans="1:7" x14ac:dyDescent="0.45">
      <c r="A7" s="1" t="s">
        <v>9</v>
      </c>
      <c r="B7">
        <v>1</v>
      </c>
      <c r="C7">
        <v>9</v>
      </c>
      <c r="D7">
        <v>5.0999999999999996</v>
      </c>
      <c r="E7">
        <v>14</v>
      </c>
      <c r="F7" t="s">
        <v>12</v>
      </c>
      <c r="G7">
        <f>964*10*5</f>
        <v>48200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F355-376C-4CFE-9252-30903A3BAF2C}">
  <dimension ref="A1:E11"/>
  <sheetViews>
    <sheetView workbookViewId="0">
      <selection activeCell="A6" sqref="A6:E9"/>
    </sheetView>
  </sheetViews>
  <sheetFormatPr baseColWidth="10" defaultRowHeight="14.25" x14ac:dyDescent="0.45"/>
  <sheetData>
    <row r="1" spans="1:5" x14ac:dyDescent="0.45">
      <c r="A1" t="s">
        <v>0</v>
      </c>
      <c r="B1" t="s">
        <v>2</v>
      </c>
      <c r="C1" t="s">
        <v>4</v>
      </c>
      <c r="D1" t="s">
        <v>8</v>
      </c>
      <c r="E1" t="s">
        <v>6</v>
      </c>
    </row>
    <row r="2" spans="1:5" x14ac:dyDescent="0.45">
      <c r="A2" s="1" t="s">
        <v>15</v>
      </c>
      <c r="B2">
        <v>6</v>
      </c>
      <c r="C2">
        <v>0</v>
      </c>
      <c r="D2" t="s">
        <v>10</v>
      </c>
      <c r="E2" s="2">
        <f>162 *10 *20</f>
        <v>32400</v>
      </c>
    </row>
    <row r="3" spans="1:5" x14ac:dyDescent="0.45">
      <c r="A3" s="1" t="s">
        <v>15</v>
      </c>
      <c r="B3">
        <v>6</v>
      </c>
      <c r="C3">
        <v>0</v>
      </c>
      <c r="D3" t="s">
        <v>12</v>
      </c>
      <c r="E3" s="2">
        <f>162 *10 *20</f>
        <v>32400</v>
      </c>
    </row>
    <row r="4" spans="1:5" x14ac:dyDescent="0.45">
      <c r="A4" s="1" t="s">
        <v>15</v>
      </c>
      <c r="B4">
        <v>6</v>
      </c>
      <c r="C4">
        <v>16</v>
      </c>
      <c r="D4" t="s">
        <v>10</v>
      </c>
      <c r="E4" s="3">
        <f>111*10*20</f>
        <v>22200</v>
      </c>
    </row>
    <row r="5" spans="1:5" x14ac:dyDescent="0.45">
      <c r="A5" s="1" t="s">
        <v>15</v>
      </c>
      <c r="B5">
        <v>6</v>
      </c>
      <c r="C5">
        <v>16</v>
      </c>
      <c r="D5" t="s">
        <v>12</v>
      </c>
      <c r="E5" s="3">
        <f>105*20*10</f>
        <v>21000</v>
      </c>
    </row>
    <row r="6" spans="1:5" x14ac:dyDescent="0.45">
      <c r="A6" s="1" t="s">
        <v>15</v>
      </c>
      <c r="B6">
        <v>9</v>
      </c>
      <c r="C6">
        <v>0</v>
      </c>
      <c r="D6" t="s">
        <v>10</v>
      </c>
      <c r="E6">
        <v>61740</v>
      </c>
    </row>
    <row r="7" spans="1:5" x14ac:dyDescent="0.45">
      <c r="A7" s="1" t="s">
        <v>15</v>
      </c>
      <c r="B7">
        <v>9</v>
      </c>
      <c r="C7">
        <v>0</v>
      </c>
      <c r="D7" t="s">
        <v>12</v>
      </c>
      <c r="E7">
        <v>61740</v>
      </c>
    </row>
    <row r="8" spans="1:5" x14ac:dyDescent="0.45">
      <c r="A8" s="1" t="s">
        <v>15</v>
      </c>
      <c r="B8">
        <v>9</v>
      </c>
      <c r="C8">
        <v>16</v>
      </c>
      <c r="D8" t="s">
        <v>10</v>
      </c>
      <c r="E8" s="2">
        <f>222*20*10</f>
        <v>44400</v>
      </c>
    </row>
    <row r="9" spans="1:5" x14ac:dyDescent="0.45">
      <c r="A9" s="1" t="s">
        <v>15</v>
      </c>
      <c r="B9">
        <v>9</v>
      </c>
      <c r="C9">
        <v>16</v>
      </c>
      <c r="D9" t="s">
        <v>12</v>
      </c>
      <c r="E9" s="2">
        <f>228*20*10</f>
        <v>45600</v>
      </c>
    </row>
    <row r="10" spans="1:5" x14ac:dyDescent="0.45">
      <c r="A10" s="1" t="s">
        <v>15</v>
      </c>
      <c r="B10" t="s">
        <v>7</v>
      </c>
      <c r="C10">
        <v>0</v>
      </c>
      <c r="D10" t="s">
        <v>14</v>
      </c>
      <c r="E10">
        <v>61740</v>
      </c>
    </row>
    <row r="11" spans="1:5" x14ac:dyDescent="0.45">
      <c r="A11" s="1" t="s">
        <v>15</v>
      </c>
      <c r="B11" t="s">
        <v>7</v>
      </c>
      <c r="C11">
        <v>16</v>
      </c>
      <c r="D11" t="s">
        <v>14</v>
      </c>
      <c r="E11">
        <v>61740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734A-2255-4472-9F72-76C528DC1B31}">
  <dimension ref="A1:G19"/>
  <sheetViews>
    <sheetView workbookViewId="0">
      <selection sqref="A1:G9"/>
    </sheetView>
  </sheetViews>
  <sheetFormatPr baseColWidth="10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6</v>
      </c>
    </row>
    <row r="2" spans="1:7" x14ac:dyDescent="0.45">
      <c r="A2" s="1" t="s">
        <v>15</v>
      </c>
      <c r="B2">
        <v>0.5</v>
      </c>
      <c r="C2">
        <v>6</v>
      </c>
      <c r="D2">
        <v>6</v>
      </c>
      <c r="E2">
        <v>0</v>
      </c>
      <c r="F2" t="s">
        <v>10</v>
      </c>
      <c r="G2" s="2">
        <f>162 *10 *20</f>
        <v>32400</v>
      </c>
    </row>
    <row r="3" spans="1:7" x14ac:dyDescent="0.45">
      <c r="A3" s="1" t="s">
        <v>15</v>
      </c>
      <c r="B3">
        <v>0.5</v>
      </c>
      <c r="C3">
        <v>6</v>
      </c>
      <c r="D3">
        <v>6</v>
      </c>
      <c r="E3">
        <v>0</v>
      </c>
      <c r="F3" t="s">
        <v>12</v>
      </c>
      <c r="G3" s="2">
        <f>162 *10 *20</f>
        <v>32400</v>
      </c>
    </row>
    <row r="4" spans="1:7" x14ac:dyDescent="0.45">
      <c r="A4" s="1" t="s">
        <v>15</v>
      </c>
      <c r="B4">
        <v>0.5</v>
      </c>
      <c r="C4">
        <v>6</v>
      </c>
      <c r="D4">
        <v>6</v>
      </c>
      <c r="E4">
        <v>16</v>
      </c>
      <c r="F4" t="s">
        <v>10</v>
      </c>
      <c r="G4" s="3">
        <f>111*10*20</f>
        <v>22200</v>
      </c>
    </row>
    <row r="5" spans="1:7" x14ac:dyDescent="0.45">
      <c r="A5" s="1" t="s">
        <v>15</v>
      </c>
      <c r="B5">
        <v>0.5</v>
      </c>
      <c r="C5">
        <v>6</v>
      </c>
      <c r="D5">
        <v>6</v>
      </c>
      <c r="E5">
        <v>16</v>
      </c>
      <c r="F5" t="s">
        <v>12</v>
      </c>
      <c r="G5" s="3">
        <f>105*20*10</f>
        <v>21000</v>
      </c>
    </row>
    <row r="6" spans="1:7" x14ac:dyDescent="0.45">
      <c r="A6" s="1" t="s">
        <v>15</v>
      </c>
      <c r="B6">
        <v>1</v>
      </c>
      <c r="C6">
        <v>9</v>
      </c>
      <c r="D6">
        <v>6</v>
      </c>
      <c r="E6">
        <v>0</v>
      </c>
      <c r="F6" t="s">
        <v>10</v>
      </c>
      <c r="G6">
        <v>61740</v>
      </c>
    </row>
    <row r="7" spans="1:7" x14ac:dyDescent="0.45">
      <c r="A7" s="1" t="s">
        <v>15</v>
      </c>
      <c r="B7">
        <v>1</v>
      </c>
      <c r="C7">
        <v>9</v>
      </c>
      <c r="D7">
        <v>6</v>
      </c>
      <c r="E7">
        <v>0</v>
      </c>
      <c r="F7" t="s">
        <v>12</v>
      </c>
      <c r="G7">
        <v>61740</v>
      </c>
    </row>
    <row r="8" spans="1:7" x14ac:dyDescent="0.45">
      <c r="A8" s="1" t="s">
        <v>15</v>
      </c>
      <c r="B8">
        <v>1</v>
      </c>
      <c r="C8">
        <v>9</v>
      </c>
      <c r="D8">
        <v>6</v>
      </c>
      <c r="E8">
        <v>16</v>
      </c>
      <c r="F8" t="s">
        <v>10</v>
      </c>
      <c r="G8" s="2">
        <f>222*20*10</f>
        <v>44400</v>
      </c>
    </row>
    <row r="9" spans="1:7" x14ac:dyDescent="0.45">
      <c r="A9" s="1" t="s">
        <v>15</v>
      </c>
      <c r="B9">
        <v>1</v>
      </c>
      <c r="C9">
        <v>9</v>
      </c>
      <c r="D9">
        <v>6</v>
      </c>
      <c r="E9">
        <v>16</v>
      </c>
      <c r="F9" t="s">
        <v>12</v>
      </c>
      <c r="G9" s="2">
        <f>228*20*10</f>
        <v>45600</v>
      </c>
    </row>
    <row r="12" spans="1:7" x14ac:dyDescent="0.45">
      <c r="F12" s="2"/>
    </row>
    <row r="13" spans="1:7" x14ac:dyDescent="0.45">
      <c r="F13" s="2"/>
    </row>
    <row r="14" spans="1:7" x14ac:dyDescent="0.45">
      <c r="F14" s="3"/>
    </row>
    <row r="15" spans="1:7" x14ac:dyDescent="0.45">
      <c r="F15" s="3"/>
    </row>
    <row r="18" spans="6:6" x14ac:dyDescent="0.45">
      <c r="F18" s="2"/>
    </row>
    <row r="19" spans="6:6" x14ac:dyDescent="0.45">
      <c r="F1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DF92-F430-414C-9B09-C602E69575F3}">
  <dimension ref="A1:E11"/>
  <sheetViews>
    <sheetView workbookViewId="0">
      <selection activeCell="A2" sqref="A2:E9"/>
    </sheetView>
  </sheetViews>
  <sheetFormatPr baseColWidth="10" defaultRowHeight="14.25" x14ac:dyDescent="0.45"/>
  <sheetData>
    <row r="1" spans="1:5" x14ac:dyDescent="0.45">
      <c r="A1" t="s">
        <v>0</v>
      </c>
      <c r="B1" t="s">
        <v>2</v>
      </c>
      <c r="C1" t="s">
        <v>4</v>
      </c>
      <c r="D1" t="s">
        <v>8</v>
      </c>
      <c r="E1" t="s">
        <v>6</v>
      </c>
    </row>
    <row r="2" spans="1:5" x14ac:dyDescent="0.45">
      <c r="A2" s="1" t="s">
        <v>13</v>
      </c>
      <c r="B2">
        <v>6</v>
      </c>
      <c r="C2">
        <v>0</v>
      </c>
      <c r="D2" t="s">
        <v>10</v>
      </c>
      <c r="E2" s="2">
        <f>144*20*10</f>
        <v>28800</v>
      </c>
    </row>
    <row r="3" spans="1:5" x14ac:dyDescent="0.45">
      <c r="A3" s="1" t="s">
        <v>13</v>
      </c>
      <c r="B3">
        <v>6</v>
      </c>
      <c r="C3">
        <v>0</v>
      </c>
      <c r="D3" t="s">
        <v>12</v>
      </c>
      <c r="E3" s="2">
        <f>140*20*10</f>
        <v>28000</v>
      </c>
    </row>
    <row r="4" spans="1:5" x14ac:dyDescent="0.45">
      <c r="A4" s="1" t="s">
        <v>13</v>
      </c>
      <c r="B4">
        <v>6</v>
      </c>
      <c r="C4">
        <v>16</v>
      </c>
      <c r="D4" t="s">
        <v>10</v>
      </c>
      <c r="E4" s="3">
        <f>80*20*10</f>
        <v>16000</v>
      </c>
    </row>
    <row r="5" spans="1:5" x14ac:dyDescent="0.45">
      <c r="A5" s="1" t="s">
        <v>13</v>
      </c>
      <c r="B5">
        <v>6</v>
      </c>
      <c r="C5">
        <v>16</v>
      </c>
      <c r="D5" t="s">
        <v>12</v>
      </c>
      <c r="E5" s="3">
        <f>97*10*20</f>
        <v>19400</v>
      </c>
    </row>
    <row r="6" spans="1:5" x14ac:dyDescent="0.45">
      <c r="A6" s="1" t="s">
        <v>13</v>
      </c>
      <c r="B6">
        <v>9</v>
      </c>
      <c r="C6">
        <v>0</v>
      </c>
      <c r="D6" t="s">
        <v>10</v>
      </c>
      <c r="E6">
        <v>61740</v>
      </c>
    </row>
    <row r="7" spans="1:5" x14ac:dyDescent="0.45">
      <c r="A7" s="1" t="s">
        <v>13</v>
      </c>
      <c r="B7">
        <v>9</v>
      </c>
      <c r="C7">
        <v>0</v>
      </c>
      <c r="D7" t="s">
        <v>12</v>
      </c>
      <c r="E7">
        <v>61740</v>
      </c>
    </row>
    <row r="8" spans="1:5" x14ac:dyDescent="0.45">
      <c r="A8" s="1" t="s">
        <v>13</v>
      </c>
      <c r="B8">
        <v>9</v>
      </c>
      <c r="C8">
        <v>16</v>
      </c>
      <c r="D8" t="s">
        <v>10</v>
      </c>
      <c r="E8" s="2">
        <f>187*20*10</f>
        <v>37400</v>
      </c>
    </row>
    <row r="9" spans="1:5" x14ac:dyDescent="0.45">
      <c r="A9" s="1" t="s">
        <v>13</v>
      </c>
      <c r="B9">
        <v>9</v>
      </c>
      <c r="C9">
        <v>16</v>
      </c>
      <c r="D9" t="s">
        <v>12</v>
      </c>
      <c r="E9" s="2">
        <f>199*10*20</f>
        <v>39800</v>
      </c>
    </row>
    <row r="10" spans="1:5" x14ac:dyDescent="0.45">
      <c r="A10" s="1" t="s">
        <v>13</v>
      </c>
      <c r="B10" t="s">
        <v>7</v>
      </c>
      <c r="C10">
        <v>0</v>
      </c>
      <c r="D10" t="s">
        <v>14</v>
      </c>
      <c r="E10">
        <v>61740</v>
      </c>
    </row>
    <row r="11" spans="1:5" x14ac:dyDescent="0.45">
      <c r="A11" s="1" t="s">
        <v>13</v>
      </c>
      <c r="B11" t="s">
        <v>7</v>
      </c>
      <c r="C11">
        <v>16</v>
      </c>
      <c r="D11" t="s">
        <v>14</v>
      </c>
      <c r="E11">
        <v>61740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60E9-A38A-4F09-966A-94539738EC0C}">
  <dimension ref="A1:G9"/>
  <sheetViews>
    <sheetView workbookViewId="0">
      <selection activeCell="D17" sqref="D17"/>
    </sheetView>
  </sheetViews>
  <sheetFormatPr baseColWidth="10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6</v>
      </c>
    </row>
    <row r="2" spans="1:7" x14ac:dyDescent="0.45">
      <c r="A2" s="1" t="s">
        <v>13</v>
      </c>
      <c r="B2">
        <v>0.5</v>
      </c>
      <c r="C2">
        <v>6</v>
      </c>
      <c r="D2">
        <v>6</v>
      </c>
      <c r="E2">
        <v>0</v>
      </c>
      <c r="F2" t="s">
        <v>10</v>
      </c>
      <c r="G2" s="2">
        <f>144*20*10</f>
        <v>28800</v>
      </c>
    </row>
    <row r="3" spans="1:7" x14ac:dyDescent="0.45">
      <c r="A3" s="1" t="s">
        <v>13</v>
      </c>
      <c r="B3">
        <v>0.5</v>
      </c>
      <c r="C3">
        <v>6</v>
      </c>
      <c r="D3">
        <v>6</v>
      </c>
      <c r="E3">
        <v>0</v>
      </c>
      <c r="F3" t="s">
        <v>12</v>
      </c>
      <c r="G3" s="2">
        <f>140*20*10</f>
        <v>28000</v>
      </c>
    </row>
    <row r="4" spans="1:7" x14ac:dyDescent="0.45">
      <c r="A4" s="1" t="s">
        <v>13</v>
      </c>
      <c r="B4">
        <v>0.5</v>
      </c>
      <c r="C4">
        <v>6</v>
      </c>
      <c r="D4">
        <v>6</v>
      </c>
      <c r="E4">
        <v>16</v>
      </c>
      <c r="F4" t="s">
        <v>10</v>
      </c>
      <c r="G4" s="3">
        <f>80*20*10</f>
        <v>16000</v>
      </c>
    </row>
    <row r="5" spans="1:7" x14ac:dyDescent="0.45">
      <c r="A5" s="1" t="s">
        <v>13</v>
      </c>
      <c r="B5">
        <v>0.5</v>
      </c>
      <c r="C5">
        <v>6</v>
      </c>
      <c r="D5">
        <v>6</v>
      </c>
      <c r="E5">
        <v>16</v>
      </c>
      <c r="F5" t="s">
        <v>12</v>
      </c>
      <c r="G5" s="3">
        <f>97*10*20</f>
        <v>19400</v>
      </c>
    </row>
    <row r="6" spans="1:7" x14ac:dyDescent="0.45">
      <c r="A6" s="1" t="s">
        <v>13</v>
      </c>
      <c r="B6">
        <v>1</v>
      </c>
      <c r="C6">
        <v>9</v>
      </c>
      <c r="D6">
        <v>6</v>
      </c>
      <c r="E6">
        <v>0</v>
      </c>
      <c r="F6" t="s">
        <v>10</v>
      </c>
      <c r="G6">
        <v>61740</v>
      </c>
    </row>
    <row r="7" spans="1:7" x14ac:dyDescent="0.45">
      <c r="A7" s="1" t="s">
        <v>13</v>
      </c>
      <c r="B7">
        <v>1</v>
      </c>
      <c r="C7">
        <v>9</v>
      </c>
      <c r="D7">
        <v>6</v>
      </c>
      <c r="E7">
        <v>0</v>
      </c>
      <c r="F7" t="s">
        <v>12</v>
      </c>
      <c r="G7">
        <v>61740</v>
      </c>
    </row>
    <row r="8" spans="1:7" x14ac:dyDescent="0.45">
      <c r="A8" s="1" t="s">
        <v>13</v>
      </c>
      <c r="B8">
        <v>1</v>
      </c>
      <c r="C8">
        <v>9</v>
      </c>
      <c r="D8">
        <v>6</v>
      </c>
      <c r="E8">
        <v>16</v>
      </c>
      <c r="F8" t="s">
        <v>10</v>
      </c>
      <c r="G8" s="2">
        <f>187*20*10</f>
        <v>37400</v>
      </c>
    </row>
    <row r="9" spans="1:7" x14ac:dyDescent="0.45">
      <c r="A9" s="1" t="s">
        <v>13</v>
      </c>
      <c r="B9">
        <v>1</v>
      </c>
      <c r="C9">
        <v>9</v>
      </c>
      <c r="D9">
        <v>6</v>
      </c>
      <c r="E9">
        <v>16</v>
      </c>
      <c r="F9" t="s">
        <v>12</v>
      </c>
      <c r="G9" s="2">
        <f>199*10*20</f>
        <v>39800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7E52-359D-4E90-94A3-83B0B1C23306}">
  <dimension ref="A1:E23"/>
  <sheetViews>
    <sheetView tabSelected="1" workbookViewId="0">
      <selection activeCell="D24" sqref="D24"/>
    </sheetView>
  </sheetViews>
  <sheetFormatPr baseColWidth="10" defaultRowHeight="14.25" x14ac:dyDescent="0.45"/>
  <sheetData>
    <row r="1" spans="1:5" x14ac:dyDescent="0.45">
      <c r="A1" t="s">
        <v>0</v>
      </c>
      <c r="B1" t="s">
        <v>2</v>
      </c>
      <c r="C1" t="s">
        <v>4</v>
      </c>
      <c r="D1" t="s">
        <v>8</v>
      </c>
      <c r="E1" t="s">
        <v>6</v>
      </c>
    </row>
    <row r="2" spans="1:5" x14ac:dyDescent="0.45">
      <c r="A2" s="1" t="s">
        <v>9</v>
      </c>
      <c r="B2">
        <v>9</v>
      </c>
      <c r="C2">
        <v>0</v>
      </c>
      <c r="D2" t="s">
        <v>14</v>
      </c>
      <c r="E2">
        <v>61740</v>
      </c>
    </row>
    <row r="3" spans="1:5" x14ac:dyDescent="0.45">
      <c r="A3" s="1" t="s">
        <v>9</v>
      </c>
      <c r="B3">
        <v>9</v>
      </c>
      <c r="C3">
        <v>1</v>
      </c>
      <c r="D3" t="s">
        <v>14</v>
      </c>
      <c r="E3">
        <f>1156*10*5</f>
        <v>57800</v>
      </c>
    </row>
    <row r="4" spans="1:5" x14ac:dyDescent="0.45">
      <c r="A4" s="1" t="s">
        <v>9</v>
      </c>
      <c r="B4">
        <v>9</v>
      </c>
      <c r="C4">
        <v>4</v>
      </c>
      <c r="D4" t="s">
        <v>14</v>
      </c>
      <c r="E4">
        <f>1129*10*5</f>
        <v>56450</v>
      </c>
    </row>
    <row r="5" spans="1:5" x14ac:dyDescent="0.45">
      <c r="A5" s="1" t="s">
        <v>9</v>
      </c>
      <c r="B5">
        <v>9</v>
      </c>
      <c r="C5">
        <v>8</v>
      </c>
      <c r="D5" t="s">
        <v>14</v>
      </c>
      <c r="E5">
        <f>1026*10*5</f>
        <v>51300</v>
      </c>
    </row>
    <row r="6" spans="1:5" x14ac:dyDescent="0.45">
      <c r="A6" s="1" t="s">
        <v>9</v>
      </c>
      <c r="B6">
        <v>9</v>
      </c>
      <c r="C6">
        <v>11</v>
      </c>
      <c r="D6" t="s">
        <v>14</v>
      </c>
      <c r="E6">
        <f>1029*10*5</f>
        <v>51450</v>
      </c>
    </row>
    <row r="7" spans="1:5" x14ac:dyDescent="0.45">
      <c r="A7" s="1" t="s">
        <v>9</v>
      </c>
      <c r="B7">
        <v>9</v>
      </c>
      <c r="C7">
        <v>14</v>
      </c>
      <c r="D7" t="s">
        <v>14</v>
      </c>
      <c r="E7">
        <f>964*10*5</f>
        <v>48200</v>
      </c>
    </row>
    <row r="8" spans="1:5" x14ac:dyDescent="0.45">
      <c r="A8" s="1" t="s">
        <v>15</v>
      </c>
      <c r="B8">
        <v>9</v>
      </c>
      <c r="C8">
        <v>0</v>
      </c>
      <c r="D8" t="s">
        <v>10</v>
      </c>
      <c r="E8">
        <v>61740</v>
      </c>
    </row>
    <row r="9" spans="1:5" x14ac:dyDescent="0.45">
      <c r="A9" s="1" t="s">
        <v>15</v>
      </c>
      <c r="B9">
        <v>9</v>
      </c>
      <c r="C9">
        <v>0</v>
      </c>
      <c r="D9" t="s">
        <v>12</v>
      </c>
      <c r="E9">
        <v>61740</v>
      </c>
    </row>
    <row r="10" spans="1:5" x14ac:dyDescent="0.45">
      <c r="A10" s="1" t="s">
        <v>15</v>
      </c>
      <c r="B10">
        <v>9</v>
      </c>
      <c r="C10">
        <v>16</v>
      </c>
      <c r="D10" t="s">
        <v>10</v>
      </c>
      <c r="E10" s="2">
        <f>222*20*10</f>
        <v>44400</v>
      </c>
    </row>
    <row r="11" spans="1:5" x14ac:dyDescent="0.45">
      <c r="A11" s="1" t="s">
        <v>15</v>
      </c>
      <c r="B11">
        <v>9</v>
      </c>
      <c r="C11">
        <v>16</v>
      </c>
      <c r="D11" t="s">
        <v>12</v>
      </c>
      <c r="E11" s="2">
        <f>228*20*10</f>
        <v>45600</v>
      </c>
    </row>
    <row r="12" spans="1:5" x14ac:dyDescent="0.45">
      <c r="A12" s="1" t="s">
        <v>5</v>
      </c>
      <c r="B12">
        <v>9</v>
      </c>
      <c r="C12">
        <v>1</v>
      </c>
      <c r="D12" t="s">
        <v>14</v>
      </c>
      <c r="E12">
        <v>56500</v>
      </c>
    </row>
    <row r="13" spans="1:5" x14ac:dyDescent="0.45">
      <c r="A13" s="1" t="s">
        <v>5</v>
      </c>
      <c r="B13">
        <v>9</v>
      </c>
      <c r="C13">
        <v>3</v>
      </c>
      <c r="D13" t="s">
        <v>14</v>
      </c>
      <c r="E13">
        <v>55900</v>
      </c>
    </row>
    <row r="14" spans="1:5" x14ac:dyDescent="0.45">
      <c r="A14" s="1" t="s">
        <v>5</v>
      </c>
      <c r="B14">
        <v>9</v>
      </c>
      <c r="C14">
        <v>6</v>
      </c>
      <c r="D14" t="s">
        <v>14</v>
      </c>
      <c r="E14">
        <v>55400</v>
      </c>
    </row>
    <row r="15" spans="1:5" x14ac:dyDescent="0.45">
      <c r="A15" s="1" t="s">
        <v>5</v>
      </c>
      <c r="B15">
        <v>9</v>
      </c>
      <c r="C15">
        <v>9</v>
      </c>
      <c r="D15" t="s">
        <v>14</v>
      </c>
      <c r="E15">
        <v>56700</v>
      </c>
    </row>
    <row r="16" spans="1:5" x14ac:dyDescent="0.45">
      <c r="A16" s="1" t="s">
        <v>5</v>
      </c>
      <c r="B16">
        <v>9</v>
      </c>
      <c r="C16">
        <v>13</v>
      </c>
      <c r="D16" t="s">
        <v>14</v>
      </c>
      <c r="E16">
        <v>81300</v>
      </c>
    </row>
    <row r="17" spans="1:5" x14ac:dyDescent="0.45">
      <c r="A17" s="1" t="s">
        <v>5</v>
      </c>
      <c r="B17">
        <v>9</v>
      </c>
      <c r="C17">
        <v>16</v>
      </c>
      <c r="D17" t="s">
        <v>14</v>
      </c>
      <c r="E17">
        <v>56100</v>
      </c>
    </row>
    <row r="18" spans="1:5" x14ac:dyDescent="0.45">
      <c r="A18" s="1" t="s">
        <v>13</v>
      </c>
      <c r="B18">
        <v>9</v>
      </c>
      <c r="C18">
        <v>0</v>
      </c>
      <c r="D18" t="s">
        <v>10</v>
      </c>
      <c r="E18">
        <v>61740</v>
      </c>
    </row>
    <row r="19" spans="1:5" x14ac:dyDescent="0.45">
      <c r="A19" s="1" t="s">
        <v>13</v>
      </c>
      <c r="B19">
        <v>9</v>
      </c>
      <c r="C19">
        <v>0</v>
      </c>
      <c r="D19" t="s">
        <v>12</v>
      </c>
      <c r="E19">
        <v>61740</v>
      </c>
    </row>
    <row r="20" spans="1:5" x14ac:dyDescent="0.45">
      <c r="A20" s="1" t="s">
        <v>13</v>
      </c>
      <c r="B20">
        <v>9</v>
      </c>
      <c r="C20">
        <v>16</v>
      </c>
      <c r="D20" t="s">
        <v>10</v>
      </c>
      <c r="E20" s="2">
        <f>187*20*10</f>
        <v>37400</v>
      </c>
    </row>
    <row r="21" spans="1:5" x14ac:dyDescent="0.45">
      <c r="A21" s="1" t="s">
        <v>13</v>
      </c>
      <c r="B21">
        <v>9</v>
      </c>
      <c r="C21">
        <v>16</v>
      </c>
      <c r="D21" t="s">
        <v>12</v>
      </c>
      <c r="E21" s="2">
        <f>199*10*20</f>
        <v>39800</v>
      </c>
    </row>
    <row r="22" spans="1:5" x14ac:dyDescent="0.45">
      <c r="A22" s="1" t="s">
        <v>9</v>
      </c>
      <c r="B22" t="s">
        <v>7</v>
      </c>
      <c r="C22">
        <v>0</v>
      </c>
      <c r="D22" t="s">
        <v>14</v>
      </c>
      <c r="E22">
        <v>61740</v>
      </c>
    </row>
    <row r="23" spans="1:5" x14ac:dyDescent="0.45">
      <c r="A23" s="1" t="s">
        <v>9</v>
      </c>
      <c r="B23" t="s">
        <v>7</v>
      </c>
      <c r="C23">
        <v>16</v>
      </c>
      <c r="D23" t="s">
        <v>14</v>
      </c>
      <c r="E23">
        <v>61740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PLDJ 2025</vt:lpstr>
      <vt:lpstr>PLDJ 2025 LMM</vt:lpstr>
      <vt:lpstr>PHAD</vt:lpstr>
      <vt:lpstr>PHAD LMM</vt:lpstr>
      <vt:lpstr>PLER 2026-2</vt:lpstr>
      <vt:lpstr>PLER 2026-2 LM</vt:lpstr>
      <vt:lpstr>PYSA</vt:lpstr>
      <vt:lpstr>PYSA LM</vt:lpstr>
      <vt:lpstr>UNIFICADOS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Garcia</dc:creator>
  <cp:lastModifiedBy>David Garcia Agudelo</cp:lastModifiedBy>
  <dcterms:created xsi:type="dcterms:W3CDTF">2015-06-05T18:19:34Z</dcterms:created>
  <dcterms:modified xsi:type="dcterms:W3CDTF">2026-04-25T00:52:01Z</dcterms:modified>
</cp:coreProperties>
</file>