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\Documentos\EAFIT\Tesis de grado\AQUAFUNGI G8\Datos y scripts de gráficos\"/>
    </mc:Choice>
  </mc:AlternateContent>
  <xr:revisionPtr revIDLastSave="0" documentId="13_ncr:1_{11F4E0A1-5B67-4D7A-8CC3-3A871454F394}" xr6:coauthVersionLast="47" xr6:coauthVersionMax="47" xr10:uidLastSave="{00000000-0000-0000-0000-000000000000}"/>
  <bookViews>
    <workbookView xWindow="-83" yWindow="0" windowWidth="10965" windowHeight="12863" firstSheet="5" activeTab="6" xr2:uid="{104BCC34-D807-4A52-A110-6E95D264854C}"/>
  </bookViews>
  <sheets>
    <sheet name="PLDJ 2025" sheetId="1" r:id="rId1"/>
    <sheet name="PLDJ 2026-1" sheetId="4" r:id="rId2"/>
    <sheet name="GALU" sheetId="2" r:id="rId3"/>
    <sheet name="PHAD" sheetId="3" r:id="rId4"/>
    <sheet name="PLER 2026-1" sheetId="5" r:id="rId5"/>
    <sheet name="PLER 2026-2" sheetId="6" r:id="rId6"/>
    <sheet name="PYS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7" l="1"/>
  <c r="F9" i="7"/>
  <c r="F8" i="7"/>
  <c r="F7" i="7"/>
  <c r="F6" i="7"/>
  <c r="F5" i="7"/>
  <c r="F4" i="7"/>
  <c r="F3" i="7"/>
  <c r="F2" i="7"/>
  <c r="F10" i="6"/>
  <c r="F9" i="6"/>
  <c r="F8" i="6"/>
  <c r="F7" i="6"/>
  <c r="F6" i="6"/>
  <c r="F5" i="6"/>
  <c r="F4" i="6"/>
  <c r="F3" i="6"/>
  <c r="F2" i="6"/>
  <c r="F28" i="5"/>
  <c r="F27" i="5"/>
  <c r="F26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5" i="5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8" i="3"/>
  <c r="F27" i="3"/>
  <c r="F26" i="3"/>
  <c r="F25" i="3"/>
  <c r="F24" i="3"/>
  <c r="F23" i="3"/>
  <c r="F22" i="3"/>
  <c r="F21" i="3"/>
  <c r="F20" i="3"/>
  <c r="F19" i="3"/>
  <c r="F18" i="3"/>
  <c r="F17" i="3"/>
  <c r="F13" i="3"/>
  <c r="F12" i="3"/>
  <c r="F11" i="3"/>
  <c r="F10" i="3"/>
  <c r="F9" i="3"/>
  <c r="F8" i="3"/>
  <c r="F7" i="3"/>
  <c r="F6" i="3"/>
  <c r="F5" i="3"/>
  <c r="F4" i="3"/>
  <c r="F3" i="3"/>
  <c r="F2" i="3"/>
  <c r="F10" i="2"/>
  <c r="F9" i="2"/>
  <c r="F8" i="2"/>
  <c r="F7" i="2"/>
  <c r="F6" i="2"/>
  <c r="F5" i="2"/>
  <c r="F4" i="2"/>
  <c r="F3" i="2"/>
  <c r="F2" i="2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F14" authorId="0" shapeId="0" xr:uid="{9B6881BD-626D-4B3A-BD11-D35C16BA273F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Contaminación que ocurrió a la mitad del exp.</t>
        </r>
      </text>
    </comment>
    <comment ref="F28" authorId="0" shapeId="0" xr:uid="{698462F6-8B25-4FF8-B735-6567617F2AFE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El hongo murió a la mitad del exp.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F14" authorId="0" shapeId="0" xr:uid="{E311B127-84C5-44A2-9825-C10A7E7FA06E}">
      <text>
        <r>
          <rPr>
            <b/>
            <sz val="9"/>
            <color indexed="81"/>
            <rFont val="Tahoma"/>
            <charset val="1"/>
          </rPr>
          <t>David Garcia:</t>
        </r>
        <r>
          <rPr>
            <sz val="9"/>
            <color indexed="81"/>
            <rFont val="Tahoma"/>
            <charset val="1"/>
          </rPr>
          <t xml:space="preserve">
Contaminado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F2" authorId="0" shapeId="0" xr:uid="{E68BFBD3-5F6B-4D6A-9AC9-86BDB2F0BE5D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Medio se contaminó</t>
        </r>
      </text>
    </comment>
    <comment ref="F5" authorId="0" shapeId="0" xr:uid="{3DC36849-3CC1-4797-93D3-97EBE0A7628A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Las colonias murieron aproximadamente en el día 12. Después de esto, comenzaron a ponerse chiquitas</t>
        </r>
      </text>
    </comment>
    <comment ref="F8" authorId="0" shapeId="0" xr:uid="{3F5B7F5D-D9DD-40A7-ACD6-634F8B1B17B5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Lo mismo que en el 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F8" authorId="0" shapeId="0" xr:uid="{5E643A89-55F4-4B8B-B1A1-610374368B87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Se contaminó en los últimos días del tratamiento</t>
        </r>
      </text>
    </comment>
    <comment ref="F15" authorId="0" shapeId="0" xr:uid="{16F5D7A0-2922-4629-9CAD-2D5681511C73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Posible contaminación en los últimos días del tratamiento</t>
        </r>
      </text>
    </comment>
    <comment ref="F17" authorId="0" shapeId="0" xr:uid="{09A7D7DA-1C93-4BBA-8F84-A468BA784D99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Se contaminó en los últimos días del tratamiento</t>
        </r>
      </text>
    </comment>
    <comment ref="F23" authorId="0" shapeId="0" xr:uid="{63692430-B07E-48DA-8254-27DA741C1477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¿Se habrá muerto el hongo?</t>
        </r>
      </text>
    </comment>
    <comment ref="F26" authorId="0" shapeId="0" xr:uid="{69A62ECB-0794-4FA2-B2DA-4D369F27B86F}">
      <text>
        <r>
          <rPr>
            <b/>
            <sz val="9"/>
            <color indexed="81"/>
            <rFont val="Tahoma"/>
            <family val="2"/>
          </rPr>
          <t>David Garcia:</t>
        </r>
        <r>
          <rPr>
            <sz val="9"/>
            <color indexed="81"/>
            <rFont val="Tahoma"/>
            <family val="2"/>
          </rPr>
          <t xml:space="preserve">
Se contaminó en los últimos días del tratamiento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Garcia</author>
  </authors>
  <commentList>
    <comment ref="F8" authorId="0" shapeId="0" xr:uid="{900F852E-7398-49E8-8512-9339EF4394B2}">
      <text>
        <r>
          <rPr>
            <b/>
            <sz val="9"/>
            <color indexed="81"/>
            <rFont val="Tahoma"/>
            <charset val="1"/>
          </rPr>
          <t>David Garcia:</t>
        </r>
        <r>
          <rPr>
            <sz val="9"/>
            <color indexed="81"/>
            <rFont val="Tahoma"/>
            <charset val="1"/>
          </rPr>
          <t xml:space="preserve">
Contaminados</t>
        </r>
      </text>
    </comment>
    <comment ref="F14" authorId="0" shapeId="0" xr:uid="{59B22020-42AC-48DA-A098-1EC389ED1FAA}">
      <text>
        <r>
          <rPr>
            <b/>
            <sz val="9"/>
            <color indexed="81"/>
            <rFont val="Tahoma"/>
            <charset val="1"/>
          </rPr>
          <t>David Garcia:</t>
        </r>
        <r>
          <rPr>
            <sz val="9"/>
            <color indexed="81"/>
            <rFont val="Tahoma"/>
            <charset val="1"/>
          </rPr>
          <t xml:space="preserve">
Contaminados</t>
        </r>
      </text>
    </comment>
    <comment ref="F17" authorId="0" shapeId="0" xr:uid="{D10F10A9-79C1-4E54-88DA-B0721E4A68D8}">
      <text>
        <r>
          <rPr>
            <b/>
            <sz val="9"/>
            <color indexed="81"/>
            <rFont val="Tahoma"/>
            <charset val="1"/>
          </rPr>
          <t>David Garcia:</t>
        </r>
        <r>
          <rPr>
            <sz val="9"/>
            <color indexed="81"/>
            <rFont val="Tahoma"/>
            <charset val="1"/>
          </rPr>
          <t xml:space="preserve">
Buenísimos!!!</t>
        </r>
      </text>
    </comment>
    <comment ref="F27" authorId="0" shapeId="0" xr:uid="{7FD1E5DA-CBDB-443B-B19B-5DFFEB91D374}">
      <text>
        <r>
          <rPr>
            <b/>
            <sz val="9"/>
            <color indexed="81"/>
            <rFont val="Tahoma"/>
            <charset val="1"/>
          </rPr>
          <t>David Garcia:</t>
        </r>
        <r>
          <rPr>
            <sz val="9"/>
            <color indexed="81"/>
            <rFont val="Tahoma"/>
            <charset val="1"/>
          </rPr>
          <t xml:space="preserve">
Contaminados</t>
        </r>
      </text>
    </comment>
  </commentList>
</comments>
</file>

<file path=xl/sharedStrings.xml><?xml version="1.0" encoding="utf-8"?>
<sst xmlns="http://schemas.openxmlformats.org/spreadsheetml/2006/main" count="339" uniqueCount="20">
  <si>
    <t>Species</t>
  </si>
  <si>
    <t>Treatment</t>
  </si>
  <si>
    <t>Media</t>
  </si>
  <si>
    <t>pH</t>
  </si>
  <si>
    <t>Biomass</t>
  </si>
  <si>
    <t>Pleurotus djamor</t>
  </si>
  <si>
    <t>Replicate</t>
  </si>
  <si>
    <t>T7</t>
  </si>
  <si>
    <t>T8</t>
  </si>
  <si>
    <t>T9</t>
  </si>
  <si>
    <t>a</t>
  </si>
  <si>
    <t>b</t>
  </si>
  <si>
    <t>c</t>
  </si>
  <si>
    <t>Ganoderma lucidum</t>
  </si>
  <si>
    <t>Pholiota adiposa</t>
  </si>
  <si>
    <t>Pleurotus eryingii</t>
  </si>
  <si>
    <t>Pleurotus eryngii</t>
  </si>
  <si>
    <t>T3</t>
  </si>
  <si>
    <t>T6</t>
  </si>
  <si>
    <t>Pycnoporus sanguineus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</si>
</sst>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9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2" fontId="0" fillId="2" borderId="1" xfId="0" applyNumberFormat="1" applyFill="1" applyBorder="1"/>
    <xf numFmtId="2" fontId="0" fillId="2" borderId="2" xfId="0" applyNumberFormat="1" applyFill="1" applyBorder="1"/>
    <xf numFmtId="2" fontId="0" fillId="3" borderId="1" xfId="0" applyNumberFormat="1" applyFill="1" applyBorder="1"/>
    <xf numFmtId="2" fontId="0" fillId="3" borderId="2" xfId="0" applyNumberFormat="1" applyFill="1" applyBorder="1"/>
    <xf numFmtId="2" fontId="0" fillId="4" borderId="1" xfId="0" applyNumberFormat="1" applyFill="1" applyBorder="1"/>
    <xf numFmtId="2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74EB-C67F-43B6-AB7B-C2EC98D369ED}">
  <dimension ref="A1:F28"/>
  <sheetViews>
    <sheetView workbookViewId="0">
      <selection activeCell="C11" sqref="C11"/>
    </sheetView>
  </sheetViews>
  <sheetFormatPr baseColWidth="10" defaultRowHeight="14.25" x14ac:dyDescent="0.45"/>
  <sheetData>
    <row r="1" spans="1:6" x14ac:dyDescent="0.45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4</v>
      </c>
    </row>
    <row r="2" spans="1:6" x14ac:dyDescent="0.45">
      <c r="A2" s="1" t="s">
        <v>5</v>
      </c>
      <c r="B2" s="2">
        <v>0</v>
      </c>
      <c r="C2">
        <v>1</v>
      </c>
      <c r="D2">
        <v>3.5</v>
      </c>
      <c r="E2" t="s">
        <v>10</v>
      </c>
      <c r="F2" s="3">
        <f>36.2999-35.3983</f>
        <v>0.90160000000000196</v>
      </c>
    </row>
    <row r="3" spans="1:6" x14ac:dyDescent="0.45">
      <c r="A3" s="1" t="s">
        <v>5</v>
      </c>
      <c r="B3" s="2">
        <v>0</v>
      </c>
      <c r="C3">
        <v>1</v>
      </c>
      <c r="D3">
        <v>3.5</v>
      </c>
      <c r="E3" t="s">
        <v>11</v>
      </c>
      <c r="F3" s="3">
        <f>39.9822-38.8827</f>
        <v>1.099499999999999</v>
      </c>
    </row>
    <row r="4" spans="1:6" x14ac:dyDescent="0.45">
      <c r="A4" s="1" t="s">
        <v>5</v>
      </c>
      <c r="B4" s="2">
        <v>0</v>
      </c>
      <c r="C4">
        <v>1</v>
      </c>
      <c r="D4">
        <v>3.5</v>
      </c>
      <c r="E4" t="s">
        <v>12</v>
      </c>
      <c r="F4" s="4">
        <f>38.9849-37.8574</f>
        <v>1.1275000000000048</v>
      </c>
    </row>
    <row r="5" spans="1:6" x14ac:dyDescent="0.45">
      <c r="A5" s="1" t="s">
        <v>5</v>
      </c>
      <c r="B5" s="2">
        <v>0</v>
      </c>
      <c r="C5">
        <v>2</v>
      </c>
      <c r="D5">
        <v>4.8</v>
      </c>
      <c r="E5" t="s">
        <v>10</v>
      </c>
      <c r="F5" s="3">
        <f>38.9471-37.1779</f>
        <v>1.7691999999999979</v>
      </c>
    </row>
    <row r="6" spans="1:6" x14ac:dyDescent="0.45">
      <c r="A6" s="1" t="s">
        <v>5</v>
      </c>
      <c r="B6" s="2">
        <v>0</v>
      </c>
      <c r="C6">
        <v>2</v>
      </c>
      <c r="D6">
        <v>4.8</v>
      </c>
      <c r="E6" t="s">
        <v>11</v>
      </c>
      <c r="F6" s="3">
        <f>45.5158-43.9776</f>
        <v>1.5381999999999962</v>
      </c>
    </row>
    <row r="7" spans="1:6" x14ac:dyDescent="0.45">
      <c r="A7" s="1" t="s">
        <v>5</v>
      </c>
      <c r="B7" s="2">
        <v>0</v>
      </c>
      <c r="C7">
        <v>2</v>
      </c>
      <c r="D7">
        <v>4.8</v>
      </c>
      <c r="E7" t="s">
        <v>12</v>
      </c>
      <c r="F7" s="4">
        <f>41.8522-40.5419</f>
        <v>1.3103000000000051</v>
      </c>
    </row>
    <row r="8" spans="1:6" x14ac:dyDescent="0.45">
      <c r="A8" s="1" t="s">
        <v>5</v>
      </c>
      <c r="B8" s="2">
        <v>0</v>
      </c>
      <c r="C8">
        <v>3</v>
      </c>
      <c r="D8">
        <v>6</v>
      </c>
      <c r="E8" t="s">
        <v>10</v>
      </c>
      <c r="F8" s="3">
        <f>40.8422-38.814</f>
        <v>2.0281999999999982</v>
      </c>
    </row>
    <row r="9" spans="1:6" x14ac:dyDescent="0.45">
      <c r="A9" s="1" t="s">
        <v>5</v>
      </c>
      <c r="B9" s="2">
        <v>0</v>
      </c>
      <c r="C9">
        <v>3</v>
      </c>
      <c r="D9">
        <v>6</v>
      </c>
      <c r="E9" t="s">
        <v>11</v>
      </c>
      <c r="F9" s="3">
        <f>41.2542-38.6414</f>
        <v>2.6128</v>
      </c>
    </row>
    <row r="10" spans="1:6" x14ac:dyDescent="0.45">
      <c r="A10" s="1" t="s">
        <v>5</v>
      </c>
      <c r="B10" s="2">
        <v>0</v>
      </c>
      <c r="C10">
        <v>3</v>
      </c>
      <c r="D10">
        <v>6</v>
      </c>
      <c r="E10" t="s">
        <v>12</v>
      </c>
      <c r="F10" s="4">
        <f>41.5501-39.004</f>
        <v>2.5461000000000027</v>
      </c>
    </row>
    <row r="11" spans="1:6" x14ac:dyDescent="0.45">
      <c r="A11" s="1" t="s">
        <v>5</v>
      </c>
      <c r="B11" s="2">
        <v>0.5</v>
      </c>
      <c r="C11">
        <v>4</v>
      </c>
      <c r="D11">
        <v>3.5</v>
      </c>
      <c r="E11" t="s">
        <v>10</v>
      </c>
      <c r="F11" s="3">
        <f>34.4663-34.4104</f>
        <v>5.5899999999994066E-2</v>
      </c>
    </row>
    <row r="12" spans="1:6" x14ac:dyDescent="0.45">
      <c r="A12" s="1" t="s">
        <v>5</v>
      </c>
      <c r="B12" s="2">
        <v>0.5</v>
      </c>
      <c r="C12">
        <v>4</v>
      </c>
      <c r="D12">
        <v>3.5</v>
      </c>
      <c r="E12" t="s">
        <v>11</v>
      </c>
      <c r="F12" s="3">
        <f>38.2253-38.1987</f>
        <v>2.659999999999485E-2</v>
      </c>
    </row>
    <row r="13" spans="1:6" x14ac:dyDescent="0.45">
      <c r="A13" s="1" t="s">
        <v>5</v>
      </c>
      <c r="B13" s="2">
        <v>0.5</v>
      </c>
      <c r="C13">
        <v>4</v>
      </c>
      <c r="D13">
        <v>3.5</v>
      </c>
      <c r="E13" t="s">
        <v>12</v>
      </c>
      <c r="F13" s="4">
        <f>36.726-36.7059</f>
        <v>2.0099999999999341E-2</v>
      </c>
    </row>
    <row r="14" spans="1:6" x14ac:dyDescent="0.45">
      <c r="A14" s="1" t="s">
        <v>5</v>
      </c>
      <c r="B14" s="2">
        <v>0.5</v>
      </c>
      <c r="C14">
        <v>5</v>
      </c>
      <c r="D14">
        <v>4.8</v>
      </c>
      <c r="E14" t="s">
        <v>10</v>
      </c>
      <c r="F14" s="5">
        <f>(41.518-40.4728)+(1.1813-0.6576)</f>
        <v>1.5689000000000013</v>
      </c>
    </row>
    <row r="15" spans="1:6" x14ac:dyDescent="0.45">
      <c r="A15" s="1" t="s">
        <v>5</v>
      </c>
      <c r="B15" s="2">
        <v>0.5</v>
      </c>
      <c r="C15">
        <v>5</v>
      </c>
      <c r="D15">
        <v>4.8</v>
      </c>
      <c r="E15" t="s">
        <v>11</v>
      </c>
      <c r="F15" s="3">
        <f>(43.3974-40.2636)+(0.6449-0.6062)</f>
        <v>3.1725000000000008</v>
      </c>
    </row>
    <row r="16" spans="1:6" x14ac:dyDescent="0.45">
      <c r="A16" s="1" t="s">
        <v>5</v>
      </c>
      <c r="B16" s="2">
        <v>0.5</v>
      </c>
      <c r="C16">
        <v>5</v>
      </c>
      <c r="D16">
        <v>4.8</v>
      </c>
      <c r="E16" t="s">
        <v>12</v>
      </c>
      <c r="F16" s="4">
        <f>(41.7891-38.6805)+(0.7208-0.6585)</f>
        <v>3.1708999999999956</v>
      </c>
    </row>
    <row r="17" spans="1:6" x14ac:dyDescent="0.45">
      <c r="A17" s="1" t="s">
        <v>5</v>
      </c>
      <c r="B17" s="2">
        <v>0.5</v>
      </c>
      <c r="C17">
        <v>6</v>
      </c>
      <c r="D17">
        <v>6</v>
      </c>
      <c r="E17" t="s">
        <v>10</v>
      </c>
      <c r="F17" s="3">
        <f>(50.2839-47.5755)+(0.6444-0.6275)</f>
        <v>2.7253000000000047</v>
      </c>
    </row>
    <row r="18" spans="1:6" x14ac:dyDescent="0.45">
      <c r="A18" s="1" t="s">
        <v>5</v>
      </c>
      <c r="B18" s="2">
        <v>0.5</v>
      </c>
      <c r="C18">
        <v>6</v>
      </c>
      <c r="D18">
        <v>6</v>
      </c>
      <c r="E18" t="s">
        <v>11</v>
      </c>
      <c r="F18" s="3">
        <f>(42.9228-39.5365)+(0.6624-0.6554)</f>
        <v>3.3933000000000058</v>
      </c>
    </row>
    <row r="19" spans="1:6" x14ac:dyDescent="0.45">
      <c r="A19" s="1" t="s">
        <v>5</v>
      </c>
      <c r="B19" s="2">
        <v>0.5</v>
      </c>
      <c r="C19">
        <v>6</v>
      </c>
      <c r="D19">
        <v>6</v>
      </c>
      <c r="E19" t="s">
        <v>12</v>
      </c>
      <c r="F19" s="4">
        <f>(40.7069-37.8985)+(0.6647-0.6466)</f>
        <v>2.8264999999999989</v>
      </c>
    </row>
    <row r="20" spans="1:6" x14ac:dyDescent="0.45">
      <c r="A20" s="1" t="s">
        <v>5</v>
      </c>
      <c r="B20" s="2">
        <v>1</v>
      </c>
      <c r="C20">
        <v>7</v>
      </c>
      <c r="D20">
        <v>3.5</v>
      </c>
      <c r="E20" t="s">
        <v>10</v>
      </c>
      <c r="F20" s="3">
        <f>0.9115-0.6064</f>
        <v>0.30509999999999993</v>
      </c>
    </row>
    <row r="21" spans="1:6" x14ac:dyDescent="0.45">
      <c r="A21" s="1" t="s">
        <v>5</v>
      </c>
      <c r="B21" s="2">
        <v>1</v>
      </c>
      <c r="C21">
        <v>7</v>
      </c>
      <c r="D21">
        <v>3.5</v>
      </c>
      <c r="E21" t="s">
        <v>11</v>
      </c>
      <c r="F21" s="3">
        <f>0.9756-0.6283</f>
        <v>0.34730000000000005</v>
      </c>
    </row>
    <row r="22" spans="1:6" x14ac:dyDescent="0.45">
      <c r="A22" s="1" t="s">
        <v>5</v>
      </c>
      <c r="B22" s="2">
        <v>1</v>
      </c>
      <c r="C22">
        <v>7</v>
      </c>
      <c r="D22">
        <v>3.5</v>
      </c>
      <c r="E22" t="s">
        <v>12</v>
      </c>
      <c r="F22" s="4">
        <f>0.9541-0.6483</f>
        <v>0.30579999999999996</v>
      </c>
    </row>
    <row r="23" spans="1:6" x14ac:dyDescent="0.45">
      <c r="A23" s="1" t="s">
        <v>5</v>
      </c>
      <c r="B23" s="2">
        <v>1</v>
      </c>
      <c r="C23">
        <v>8</v>
      </c>
      <c r="D23">
        <v>4.8</v>
      </c>
      <c r="E23" t="s">
        <v>10</v>
      </c>
      <c r="F23" s="3">
        <f>(39.8017-39.7751)+(0.9418-0.6285)</f>
        <v>0.33989999999999487</v>
      </c>
    </row>
    <row r="24" spans="1:6" x14ac:dyDescent="0.45">
      <c r="A24" s="1" t="s">
        <v>5</v>
      </c>
      <c r="B24" s="2">
        <v>1</v>
      </c>
      <c r="C24">
        <v>8</v>
      </c>
      <c r="D24">
        <v>4.8</v>
      </c>
      <c r="E24" t="s">
        <v>11</v>
      </c>
      <c r="F24" s="3">
        <f>0.9757-0.6691</f>
        <v>0.30659999999999998</v>
      </c>
    </row>
    <row r="25" spans="1:6" x14ac:dyDescent="0.45">
      <c r="A25" s="1" t="s">
        <v>5</v>
      </c>
      <c r="B25" s="2">
        <v>1</v>
      </c>
      <c r="C25">
        <v>8</v>
      </c>
      <c r="D25">
        <v>4.8</v>
      </c>
      <c r="E25" t="s">
        <v>12</v>
      </c>
      <c r="F25" s="4">
        <f>1.0025-0.6891</f>
        <v>0.3133999999999999</v>
      </c>
    </row>
    <row r="26" spans="1:6" x14ac:dyDescent="0.45">
      <c r="A26" s="1" t="s">
        <v>5</v>
      </c>
      <c r="B26" s="2">
        <v>1</v>
      </c>
      <c r="C26">
        <v>9</v>
      </c>
      <c r="D26">
        <v>6</v>
      </c>
      <c r="E26" t="s">
        <v>10</v>
      </c>
      <c r="F26" s="3">
        <f>(38.3472-36.0707)+(0.6751-0.6359)</f>
        <v>2.3156999999999988</v>
      </c>
    </row>
    <row r="27" spans="1:6" x14ac:dyDescent="0.45">
      <c r="A27" s="1" t="s">
        <v>5</v>
      </c>
      <c r="B27" s="2">
        <v>1</v>
      </c>
      <c r="C27">
        <v>9</v>
      </c>
      <c r="D27">
        <v>6</v>
      </c>
      <c r="E27" t="s">
        <v>11</v>
      </c>
      <c r="F27" s="3">
        <f>39.9783-37.9335</f>
        <v>2.0447999999999951</v>
      </c>
    </row>
    <row r="28" spans="1:6" x14ac:dyDescent="0.45">
      <c r="A28" s="1" t="s">
        <v>5</v>
      </c>
      <c r="B28" s="2">
        <v>1</v>
      </c>
      <c r="C28">
        <v>9</v>
      </c>
      <c r="D28">
        <v>6</v>
      </c>
      <c r="E28" t="s">
        <v>12</v>
      </c>
      <c r="F28" s="5">
        <f>(38.9148-37.9316)+(0.6968-0.6644)</f>
        <v>1.0155999999999965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CB3B-1E55-4ECE-9F1F-64AB909F044A}">
  <dimension ref="A1:F28"/>
  <sheetViews>
    <sheetView workbookViewId="0">
      <selection activeCell="C11" sqref="C11"/>
    </sheetView>
  </sheetViews>
  <sheetFormatPr baseColWidth="10" defaultRowHeight="14.25" x14ac:dyDescent="0.45"/>
  <sheetData>
    <row r="1" spans="1:6" x14ac:dyDescent="0.45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4</v>
      </c>
    </row>
    <row r="2" spans="1:6" x14ac:dyDescent="0.45">
      <c r="A2" s="1" t="s">
        <v>5</v>
      </c>
      <c r="B2" s="2">
        <v>0</v>
      </c>
      <c r="C2">
        <v>1</v>
      </c>
      <c r="D2">
        <v>3.5</v>
      </c>
      <c r="E2" t="s">
        <v>10</v>
      </c>
      <c r="F2" s="7">
        <f>SUM(44.4743-42.8962)</f>
        <v>1.5780999999999992</v>
      </c>
    </row>
    <row r="3" spans="1:6" x14ac:dyDescent="0.45">
      <c r="A3" s="1" t="s">
        <v>5</v>
      </c>
      <c r="B3" s="2">
        <v>0</v>
      </c>
      <c r="C3">
        <v>1</v>
      </c>
      <c r="D3">
        <v>3.5</v>
      </c>
      <c r="E3" t="s">
        <v>11</v>
      </c>
      <c r="F3" s="7">
        <f>SUM(35.117-33.471)</f>
        <v>1.6460000000000008</v>
      </c>
    </row>
    <row r="4" spans="1:6" x14ac:dyDescent="0.45">
      <c r="A4" s="1" t="s">
        <v>5</v>
      </c>
      <c r="B4" s="2">
        <v>0</v>
      </c>
      <c r="C4">
        <v>1</v>
      </c>
      <c r="D4">
        <v>3.5</v>
      </c>
      <c r="E4" t="s">
        <v>12</v>
      </c>
      <c r="F4" s="8">
        <f>SUM(38.5106-36.9839)</f>
        <v>1.5266999999999982</v>
      </c>
    </row>
    <row r="5" spans="1:6" x14ac:dyDescent="0.45">
      <c r="A5" s="1" t="s">
        <v>5</v>
      </c>
      <c r="B5" s="2">
        <v>0</v>
      </c>
      <c r="C5">
        <v>2</v>
      </c>
      <c r="D5">
        <v>4.8</v>
      </c>
      <c r="E5" t="s">
        <v>10</v>
      </c>
      <c r="F5" s="7">
        <f>SUM(42.2432-38.5504)</f>
        <v>3.6927999999999983</v>
      </c>
    </row>
    <row r="6" spans="1:6" x14ac:dyDescent="0.45">
      <c r="A6" s="1" t="s">
        <v>5</v>
      </c>
      <c r="B6" s="2">
        <v>0</v>
      </c>
      <c r="C6">
        <v>2</v>
      </c>
      <c r="D6">
        <v>4.8</v>
      </c>
      <c r="E6" t="s">
        <v>11</v>
      </c>
      <c r="F6" s="7">
        <f>SUM(37.418-33.9551)</f>
        <v>3.4628999999999976</v>
      </c>
    </row>
    <row r="7" spans="1:6" x14ac:dyDescent="0.45">
      <c r="A7" s="1" t="s">
        <v>5</v>
      </c>
      <c r="B7" s="2">
        <v>0</v>
      </c>
      <c r="C7">
        <v>2</v>
      </c>
      <c r="D7">
        <v>4.8</v>
      </c>
      <c r="E7" t="s">
        <v>12</v>
      </c>
      <c r="F7" s="8">
        <f>SUM(41.6341-38.4193)</f>
        <v>3.2147999999999968</v>
      </c>
    </row>
    <row r="8" spans="1:6" x14ac:dyDescent="0.45">
      <c r="A8" s="1" t="s">
        <v>5</v>
      </c>
      <c r="B8" s="2">
        <v>0</v>
      </c>
      <c r="C8">
        <v>3</v>
      </c>
      <c r="D8">
        <v>6</v>
      </c>
      <c r="E8" t="s">
        <v>10</v>
      </c>
      <c r="F8" s="7">
        <f>SUM(39.7166-36.4007)</f>
        <v>3.3158999999999992</v>
      </c>
    </row>
    <row r="9" spans="1:6" x14ac:dyDescent="0.45">
      <c r="A9" s="1" t="s">
        <v>5</v>
      </c>
      <c r="B9" s="2">
        <v>0</v>
      </c>
      <c r="C9">
        <v>3</v>
      </c>
      <c r="D9">
        <v>6</v>
      </c>
      <c r="E9" t="s">
        <v>11</v>
      </c>
      <c r="F9" s="7">
        <f>SUM(41.8707-38.4183)</f>
        <v>3.4523999999999972</v>
      </c>
    </row>
    <row r="10" spans="1:6" x14ac:dyDescent="0.45">
      <c r="A10" s="1" t="s">
        <v>5</v>
      </c>
      <c r="B10" s="2">
        <v>0</v>
      </c>
      <c r="C10">
        <v>3</v>
      </c>
      <c r="D10">
        <v>6</v>
      </c>
      <c r="E10" t="s">
        <v>12</v>
      </c>
      <c r="F10" s="8">
        <f>SUM(39.5126-36.6786)</f>
        <v>2.8339999999999961</v>
      </c>
    </row>
    <row r="11" spans="1:6" x14ac:dyDescent="0.45">
      <c r="A11" s="1" t="s">
        <v>5</v>
      </c>
      <c r="B11" s="2">
        <v>0.5</v>
      </c>
      <c r="C11">
        <v>4</v>
      </c>
      <c r="D11">
        <v>3.5</v>
      </c>
      <c r="E11" t="s">
        <v>10</v>
      </c>
      <c r="F11" s="3">
        <f>SUM(38.5574 - 38.2487)</f>
        <v>0.30870000000000175</v>
      </c>
    </row>
    <row r="12" spans="1:6" x14ac:dyDescent="0.45">
      <c r="A12" s="1" t="s">
        <v>5</v>
      </c>
      <c r="B12" s="2">
        <v>0.5</v>
      </c>
      <c r="C12">
        <v>4</v>
      </c>
      <c r="D12">
        <v>3.5</v>
      </c>
      <c r="E12" t="s">
        <v>11</v>
      </c>
      <c r="F12" s="3">
        <f>SUM(39.7883 - 39.5147)</f>
        <v>0.27360000000000184</v>
      </c>
    </row>
    <row r="13" spans="1:6" x14ac:dyDescent="0.45">
      <c r="A13" s="1" t="s">
        <v>5</v>
      </c>
      <c r="B13" s="2">
        <v>0.5</v>
      </c>
      <c r="C13">
        <v>4</v>
      </c>
      <c r="D13">
        <v>3.5</v>
      </c>
      <c r="E13" t="s">
        <v>12</v>
      </c>
      <c r="F13" s="4">
        <f>SUM(39.2279 - 38.956)</f>
        <v>0.27189999999999515</v>
      </c>
    </row>
    <row r="14" spans="1:6" x14ac:dyDescent="0.45">
      <c r="A14" s="1" t="s">
        <v>5</v>
      </c>
      <c r="B14" s="2">
        <v>0.5</v>
      </c>
      <c r="C14">
        <v>5</v>
      </c>
      <c r="D14">
        <v>4.8</v>
      </c>
      <c r="E14" t="s">
        <v>10</v>
      </c>
      <c r="F14" s="5">
        <f>SUM(39.9952 - 37.8985)</f>
        <v>2.0966999999999985</v>
      </c>
    </row>
    <row r="15" spans="1:6" x14ac:dyDescent="0.45">
      <c r="A15" s="1" t="s">
        <v>5</v>
      </c>
      <c r="B15" s="2">
        <v>0.5</v>
      </c>
      <c r="C15">
        <v>5</v>
      </c>
      <c r="D15">
        <v>4.8</v>
      </c>
      <c r="E15" t="s">
        <v>11</v>
      </c>
      <c r="F15" s="3">
        <f>SUM(47.0084 - 44.0293)</f>
        <v>2.9791000000000025</v>
      </c>
    </row>
    <row r="16" spans="1:6" x14ac:dyDescent="0.45">
      <c r="A16" s="1" t="s">
        <v>5</v>
      </c>
      <c r="B16" s="2">
        <v>0.5</v>
      </c>
      <c r="C16">
        <v>5</v>
      </c>
      <c r="D16">
        <v>4.8</v>
      </c>
      <c r="E16" t="s">
        <v>12</v>
      </c>
      <c r="F16" s="4">
        <f>SUM(38.5673 - 36.1365)</f>
        <v>2.430800000000005</v>
      </c>
    </row>
    <row r="17" spans="1:6" x14ac:dyDescent="0.45">
      <c r="A17" s="1" t="s">
        <v>5</v>
      </c>
      <c r="B17" s="2">
        <v>0.5</v>
      </c>
      <c r="C17">
        <v>6</v>
      </c>
      <c r="D17">
        <v>6</v>
      </c>
      <c r="E17" t="s">
        <v>10</v>
      </c>
      <c r="F17" s="3">
        <f>SUM(36.6323 - 33.6098)</f>
        <v>3.0225000000000009</v>
      </c>
    </row>
    <row r="18" spans="1:6" x14ac:dyDescent="0.45">
      <c r="A18" s="1" t="s">
        <v>5</v>
      </c>
      <c r="B18" s="2">
        <v>0.5</v>
      </c>
      <c r="C18">
        <v>6</v>
      </c>
      <c r="D18">
        <v>6</v>
      </c>
      <c r="E18" t="s">
        <v>11</v>
      </c>
      <c r="F18" s="3">
        <f>SUM(36.7929 - 33.8883)</f>
        <v>2.9046000000000021</v>
      </c>
    </row>
    <row r="19" spans="1:6" x14ac:dyDescent="0.45">
      <c r="A19" s="1" t="s">
        <v>5</v>
      </c>
      <c r="B19" s="2">
        <v>0.5</v>
      </c>
      <c r="C19">
        <v>6</v>
      </c>
      <c r="D19">
        <v>6</v>
      </c>
      <c r="E19" t="s">
        <v>12</v>
      </c>
      <c r="F19" s="4">
        <f>SUM(41.1046 - 38.222)</f>
        <v>2.8825999999999965</v>
      </c>
    </row>
    <row r="20" spans="1:6" x14ac:dyDescent="0.45">
      <c r="A20" s="1" t="s">
        <v>5</v>
      </c>
      <c r="B20" s="2">
        <v>1</v>
      </c>
      <c r="C20">
        <v>7</v>
      </c>
      <c r="D20">
        <v>3.5</v>
      </c>
      <c r="E20" t="s">
        <v>10</v>
      </c>
      <c r="F20" s="3">
        <f>SUM(33.3288 - 32.9768)</f>
        <v>0.35200000000000387</v>
      </c>
    </row>
    <row r="21" spans="1:6" x14ac:dyDescent="0.45">
      <c r="A21" s="1" t="s">
        <v>5</v>
      </c>
      <c r="B21" s="2">
        <v>1</v>
      </c>
      <c r="C21">
        <v>7</v>
      </c>
      <c r="D21">
        <v>3.5</v>
      </c>
      <c r="E21" t="s">
        <v>11</v>
      </c>
      <c r="F21" s="3">
        <f>SUM(37.8263 - 37.4769)</f>
        <v>0.34940000000000282</v>
      </c>
    </row>
    <row r="22" spans="1:6" x14ac:dyDescent="0.45">
      <c r="A22" s="1" t="s">
        <v>5</v>
      </c>
      <c r="B22" s="2">
        <v>1</v>
      </c>
      <c r="C22">
        <v>7</v>
      </c>
      <c r="D22">
        <v>3.5</v>
      </c>
      <c r="E22" t="s">
        <v>12</v>
      </c>
      <c r="F22" s="4">
        <f>SUM(34.9594 - 34.607)</f>
        <v>0.35240000000000293</v>
      </c>
    </row>
    <row r="23" spans="1:6" x14ac:dyDescent="0.45">
      <c r="A23" s="1" t="s">
        <v>5</v>
      </c>
      <c r="B23" s="2">
        <v>1</v>
      </c>
      <c r="C23">
        <v>8</v>
      </c>
      <c r="D23">
        <v>4.8</v>
      </c>
      <c r="E23" t="s">
        <v>10</v>
      </c>
      <c r="F23" s="3">
        <f>SUM(38.7602 - 38.4289)</f>
        <v>0.33129999999999882</v>
      </c>
    </row>
    <row r="24" spans="1:6" x14ac:dyDescent="0.45">
      <c r="A24" s="1" t="s">
        <v>5</v>
      </c>
      <c r="B24" s="2">
        <v>1</v>
      </c>
      <c r="C24">
        <v>8</v>
      </c>
      <c r="D24">
        <v>4.8</v>
      </c>
      <c r="E24" t="s">
        <v>11</v>
      </c>
      <c r="F24" s="3">
        <f>SUM(39.881 - 39.5724)</f>
        <v>0.30859999999999843</v>
      </c>
    </row>
    <row r="25" spans="1:6" x14ac:dyDescent="0.45">
      <c r="A25" s="1" t="s">
        <v>5</v>
      </c>
      <c r="B25" s="2">
        <v>1</v>
      </c>
      <c r="C25">
        <v>8</v>
      </c>
      <c r="D25">
        <v>4.8</v>
      </c>
      <c r="E25" t="s">
        <v>12</v>
      </c>
      <c r="F25" s="4">
        <f>SUM(39.0495 - 38.6819)</f>
        <v>0.36760000000000304</v>
      </c>
    </row>
    <row r="26" spans="1:6" x14ac:dyDescent="0.45">
      <c r="A26" s="1" t="s">
        <v>5</v>
      </c>
      <c r="B26" s="2">
        <v>1</v>
      </c>
      <c r="C26">
        <v>9</v>
      </c>
      <c r="D26">
        <v>6</v>
      </c>
      <c r="E26" t="s">
        <v>10</v>
      </c>
      <c r="F26" s="3">
        <f>SUM(38.996 - 37.2969)</f>
        <v>1.6991000000000014</v>
      </c>
    </row>
    <row r="27" spans="1:6" x14ac:dyDescent="0.45">
      <c r="A27" s="1" t="s">
        <v>5</v>
      </c>
      <c r="B27" s="2">
        <v>1</v>
      </c>
      <c r="C27">
        <v>9</v>
      </c>
      <c r="D27">
        <v>6</v>
      </c>
      <c r="E27" t="s">
        <v>11</v>
      </c>
      <c r="F27" s="3">
        <f>SUM(36.0154 - 34.2986)</f>
        <v>1.7167999999999992</v>
      </c>
    </row>
    <row r="28" spans="1:6" x14ac:dyDescent="0.45">
      <c r="A28" s="1" t="s">
        <v>5</v>
      </c>
      <c r="B28" s="2">
        <v>1</v>
      </c>
      <c r="C28">
        <v>9</v>
      </c>
      <c r="D28">
        <v>6</v>
      </c>
      <c r="E28" t="s">
        <v>12</v>
      </c>
      <c r="F28" s="4">
        <f>SUM(39.3295 - 37.4713)</f>
        <v>1.8582000000000036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5B78-143F-4CC6-9A25-D242FC03A419}">
  <dimension ref="A1:F11"/>
  <sheetViews>
    <sheetView workbookViewId="0">
      <selection sqref="A1:XFD1048576"/>
    </sheetView>
  </sheetViews>
  <sheetFormatPr baseColWidth="10" defaultRowHeight="14.25" x14ac:dyDescent="0.45"/>
  <sheetData>
    <row r="1" spans="1:6" x14ac:dyDescent="0.45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4</v>
      </c>
    </row>
    <row r="2" spans="1:6" x14ac:dyDescent="0.45">
      <c r="A2" s="1" t="s">
        <v>13</v>
      </c>
      <c r="B2" s="2">
        <v>1</v>
      </c>
      <c r="C2" t="s">
        <v>7</v>
      </c>
      <c r="D2">
        <v>3.5</v>
      </c>
      <c r="E2" t="s">
        <v>10</v>
      </c>
      <c r="F2" s="5">
        <f>(34.7929-34.7361)+(0.8049-0.6236)</f>
        <v>0.23810000000000253</v>
      </c>
    </row>
    <row r="3" spans="1:6" x14ac:dyDescent="0.45">
      <c r="A3" s="1" t="s">
        <v>13</v>
      </c>
      <c r="B3" s="2">
        <v>1</v>
      </c>
      <c r="C3" t="s">
        <v>7</v>
      </c>
      <c r="D3">
        <v>3.5</v>
      </c>
      <c r="E3" t="s">
        <v>11</v>
      </c>
      <c r="F3" s="5">
        <f>0.8915-0.652</f>
        <v>0.23949999999999994</v>
      </c>
    </row>
    <row r="4" spans="1:6" x14ac:dyDescent="0.45">
      <c r="A4" s="1" t="s">
        <v>13</v>
      </c>
      <c r="B4" s="2">
        <v>1</v>
      </c>
      <c r="C4" t="s">
        <v>7</v>
      </c>
      <c r="D4">
        <v>3.5</v>
      </c>
      <c r="E4" t="s">
        <v>12</v>
      </c>
      <c r="F4" s="6">
        <f>0.9112-0.6635</f>
        <v>0.24770000000000003</v>
      </c>
    </row>
    <row r="5" spans="1:6" x14ac:dyDescent="0.45">
      <c r="A5" s="1" t="s">
        <v>13</v>
      </c>
      <c r="B5" s="2">
        <v>1</v>
      </c>
      <c r="C5" t="s">
        <v>8</v>
      </c>
      <c r="D5">
        <v>4.8</v>
      </c>
      <c r="E5" t="s">
        <v>10</v>
      </c>
      <c r="F5" s="5">
        <f>39.855-39.5182</f>
        <v>0.33679999999999666</v>
      </c>
    </row>
    <row r="6" spans="1:6" x14ac:dyDescent="0.45">
      <c r="A6" s="1" t="s">
        <v>13</v>
      </c>
      <c r="B6" s="2">
        <v>1</v>
      </c>
      <c r="C6" t="s">
        <v>8</v>
      </c>
      <c r="D6">
        <v>4.8</v>
      </c>
      <c r="E6" t="s">
        <v>11</v>
      </c>
      <c r="F6" s="5">
        <f>43.9107-43.2334</f>
        <v>0.67729999999999535</v>
      </c>
    </row>
    <row r="7" spans="1:6" x14ac:dyDescent="0.45">
      <c r="A7" s="1" t="s">
        <v>13</v>
      </c>
      <c r="B7" s="2">
        <v>1</v>
      </c>
      <c r="C7" t="s">
        <v>8</v>
      </c>
      <c r="D7">
        <v>4.8</v>
      </c>
      <c r="E7" t="s">
        <v>12</v>
      </c>
      <c r="F7" s="6">
        <f>38.7038-38.0657</f>
        <v>0.63810000000000144</v>
      </c>
    </row>
    <row r="8" spans="1:6" x14ac:dyDescent="0.45">
      <c r="A8" s="1" t="s">
        <v>13</v>
      </c>
      <c r="B8" s="2">
        <v>1</v>
      </c>
      <c r="C8" t="s">
        <v>9</v>
      </c>
      <c r="D8">
        <v>6</v>
      </c>
      <c r="E8" t="s">
        <v>10</v>
      </c>
      <c r="F8" s="5">
        <f>39.9901-39.556</f>
        <v>0.43410000000000082</v>
      </c>
    </row>
    <row r="9" spans="1:6" x14ac:dyDescent="0.45">
      <c r="A9" s="1" t="s">
        <v>13</v>
      </c>
      <c r="B9" s="2">
        <v>1</v>
      </c>
      <c r="C9" t="s">
        <v>9</v>
      </c>
      <c r="D9">
        <v>6</v>
      </c>
      <c r="E9" t="s">
        <v>11</v>
      </c>
      <c r="F9" s="5">
        <f>39.2949-38.7028</f>
        <v>0.59209999999999496</v>
      </c>
    </row>
    <row r="10" spans="1:6" x14ac:dyDescent="0.45">
      <c r="A10" s="1" t="s">
        <v>13</v>
      </c>
      <c r="B10" s="2">
        <v>1</v>
      </c>
      <c r="C10" t="s">
        <v>9</v>
      </c>
      <c r="D10">
        <v>6</v>
      </c>
      <c r="E10" t="s">
        <v>12</v>
      </c>
      <c r="F10" s="5">
        <f>38.9233-38.4602</f>
        <v>0.46309999999999718</v>
      </c>
    </row>
    <row r="11" spans="1:6" x14ac:dyDescent="0.45">
      <c r="A11" s="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1F02-F9F8-4E0E-8F8C-3F1865BB230B}">
  <dimension ref="A1:F28"/>
  <sheetViews>
    <sheetView workbookViewId="0">
      <selection activeCell="D20" sqref="D20:D28"/>
    </sheetView>
  </sheetViews>
  <sheetFormatPr baseColWidth="10" defaultRowHeight="14.25" x14ac:dyDescent="0.45"/>
  <sheetData>
    <row r="1" spans="1:6" x14ac:dyDescent="0.45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4</v>
      </c>
    </row>
    <row r="2" spans="1:6" x14ac:dyDescent="0.45">
      <c r="A2" s="1" t="s">
        <v>14</v>
      </c>
      <c r="B2" s="2">
        <v>0</v>
      </c>
      <c r="C2">
        <v>1</v>
      </c>
      <c r="D2">
        <v>2.8</v>
      </c>
      <c r="E2" t="s">
        <v>10</v>
      </c>
      <c r="F2" s="3">
        <f>39.8178-39.5618</f>
        <v>0.25600000000000023</v>
      </c>
    </row>
    <row r="3" spans="1:6" x14ac:dyDescent="0.45">
      <c r="A3" s="1" t="s">
        <v>14</v>
      </c>
      <c r="B3" s="2">
        <v>0</v>
      </c>
      <c r="C3">
        <v>1</v>
      </c>
      <c r="D3">
        <v>2.8</v>
      </c>
      <c r="E3" t="s">
        <v>11</v>
      </c>
      <c r="F3" s="3">
        <f>39.2217-38.8492</f>
        <v>0.37249999999999517</v>
      </c>
    </row>
    <row r="4" spans="1:6" x14ac:dyDescent="0.45">
      <c r="A4" s="1" t="s">
        <v>14</v>
      </c>
      <c r="B4" s="2">
        <v>0</v>
      </c>
      <c r="C4">
        <v>1</v>
      </c>
      <c r="D4">
        <v>2.8</v>
      </c>
      <c r="E4" t="s">
        <v>12</v>
      </c>
      <c r="F4" s="4">
        <f>37.7193-37.4583</f>
        <v>0.26099999999999568</v>
      </c>
    </row>
    <row r="5" spans="1:6" x14ac:dyDescent="0.45">
      <c r="A5" s="1" t="s">
        <v>14</v>
      </c>
      <c r="B5" s="2">
        <v>0</v>
      </c>
      <c r="C5">
        <v>2</v>
      </c>
      <c r="D5">
        <v>4.3</v>
      </c>
      <c r="E5" t="s">
        <v>10</v>
      </c>
      <c r="F5" s="3">
        <f>40.4763-37.7186</f>
        <v>2.7576999999999998</v>
      </c>
    </row>
    <row r="6" spans="1:6" x14ac:dyDescent="0.45">
      <c r="A6" s="1" t="s">
        <v>14</v>
      </c>
      <c r="B6" s="2">
        <v>0</v>
      </c>
      <c r="C6">
        <v>2</v>
      </c>
      <c r="D6">
        <v>4.3</v>
      </c>
      <c r="E6" t="s">
        <v>11</v>
      </c>
      <c r="F6" s="3">
        <f>42.2136-39.4453</f>
        <v>2.7682999999999964</v>
      </c>
    </row>
    <row r="7" spans="1:6" x14ac:dyDescent="0.45">
      <c r="A7" s="1" t="s">
        <v>14</v>
      </c>
      <c r="B7" s="2">
        <v>0</v>
      </c>
      <c r="C7">
        <v>2</v>
      </c>
      <c r="D7">
        <v>4.3</v>
      </c>
      <c r="E7" t="s">
        <v>12</v>
      </c>
      <c r="F7" s="4">
        <f>39.8536-37.2361</f>
        <v>2.6174999999999997</v>
      </c>
    </row>
    <row r="8" spans="1:6" x14ac:dyDescent="0.45">
      <c r="A8" s="1" t="s">
        <v>14</v>
      </c>
      <c r="B8" s="2">
        <v>0</v>
      </c>
      <c r="C8">
        <v>3</v>
      </c>
      <c r="D8">
        <v>5.0999999999999996</v>
      </c>
      <c r="E8" t="s">
        <v>10</v>
      </c>
      <c r="F8" s="5">
        <f>(39.0987-37.1924)+(0.9276-0.899)</f>
        <v>1.9349000000000016</v>
      </c>
    </row>
    <row r="9" spans="1:6" x14ac:dyDescent="0.45">
      <c r="A9" s="1" t="s">
        <v>14</v>
      </c>
      <c r="B9" s="2">
        <v>0</v>
      </c>
      <c r="C9">
        <v>3</v>
      </c>
      <c r="D9">
        <v>5.0999999999999996</v>
      </c>
      <c r="E9" t="s">
        <v>11</v>
      </c>
      <c r="F9" s="5">
        <f>(40.422-38.7016)+(0.9236-0.8856)</f>
        <v>1.7583999999999977</v>
      </c>
    </row>
    <row r="10" spans="1:6" x14ac:dyDescent="0.45">
      <c r="A10" s="1" t="s">
        <v>14</v>
      </c>
      <c r="B10" s="2">
        <v>0</v>
      </c>
      <c r="C10">
        <v>3</v>
      </c>
      <c r="D10">
        <v>5.0999999999999996</v>
      </c>
      <c r="E10" t="s">
        <v>12</v>
      </c>
      <c r="F10" s="6">
        <f>(38.9425-37.3387)+(1.1352-0.9023)</f>
        <v>1.8366999999999996</v>
      </c>
    </row>
    <row r="11" spans="1:6" x14ac:dyDescent="0.45">
      <c r="A11" s="1" t="s">
        <v>14</v>
      </c>
      <c r="B11" s="2">
        <v>0.5</v>
      </c>
      <c r="C11">
        <v>4</v>
      </c>
      <c r="D11">
        <v>2.8</v>
      </c>
      <c r="E11" t="s">
        <v>10</v>
      </c>
      <c r="F11" s="3">
        <f>37.8301-37.3349</f>
        <v>0.49520000000000408</v>
      </c>
    </row>
    <row r="12" spans="1:6" x14ac:dyDescent="0.45">
      <c r="A12" s="1" t="s">
        <v>14</v>
      </c>
      <c r="B12" s="2">
        <v>0.5</v>
      </c>
      <c r="C12">
        <v>4</v>
      </c>
      <c r="D12">
        <v>2.8</v>
      </c>
      <c r="E12" t="s">
        <v>11</v>
      </c>
      <c r="F12" s="3">
        <f>45.7967-45.4228</f>
        <v>0.37389999999999901</v>
      </c>
    </row>
    <row r="13" spans="1:6" x14ac:dyDescent="0.45">
      <c r="A13" s="1" t="s">
        <v>14</v>
      </c>
      <c r="B13" s="2">
        <v>0.5</v>
      </c>
      <c r="C13">
        <v>4</v>
      </c>
      <c r="D13">
        <v>2.8</v>
      </c>
      <c r="E13" t="s">
        <v>12</v>
      </c>
      <c r="F13" s="4">
        <f>46.33-45.9664</f>
        <v>0.36359999999999815</v>
      </c>
    </row>
    <row r="14" spans="1:6" x14ac:dyDescent="0.45">
      <c r="A14" s="1" t="s">
        <v>14</v>
      </c>
      <c r="B14" s="2">
        <v>0.5</v>
      </c>
      <c r="C14">
        <v>5</v>
      </c>
      <c r="D14">
        <v>4.3</v>
      </c>
      <c r="E14" t="s">
        <v>10</v>
      </c>
      <c r="F14" s="7">
        <v>3.08</v>
      </c>
    </row>
    <row r="15" spans="1:6" x14ac:dyDescent="0.45">
      <c r="A15" s="1" t="s">
        <v>14</v>
      </c>
      <c r="B15" s="2">
        <v>0.5</v>
      </c>
      <c r="C15">
        <v>5</v>
      </c>
      <c r="D15">
        <v>4.3</v>
      </c>
      <c r="E15" t="s">
        <v>11</v>
      </c>
      <c r="F15" s="5">
        <v>2.35</v>
      </c>
    </row>
    <row r="16" spans="1:6" x14ac:dyDescent="0.45">
      <c r="A16" s="1" t="s">
        <v>14</v>
      </c>
      <c r="B16" s="2">
        <v>0.5</v>
      </c>
      <c r="C16">
        <v>5</v>
      </c>
      <c r="D16">
        <v>4.3</v>
      </c>
      <c r="E16" t="s">
        <v>12</v>
      </c>
      <c r="F16" s="4">
        <v>3.18</v>
      </c>
    </row>
    <row r="17" spans="1:6" x14ac:dyDescent="0.45">
      <c r="A17" s="1" t="s">
        <v>14</v>
      </c>
      <c r="B17" s="2">
        <v>0.5</v>
      </c>
      <c r="C17">
        <v>6</v>
      </c>
      <c r="D17">
        <v>5.0999999999999996</v>
      </c>
      <c r="E17" t="s">
        <v>10</v>
      </c>
      <c r="F17" s="5">
        <f>(41.8682-39.3644)+(0.9314-0.8813)</f>
        <v>2.5538999999999983</v>
      </c>
    </row>
    <row r="18" spans="1:6" x14ac:dyDescent="0.45">
      <c r="A18" s="1" t="s">
        <v>14</v>
      </c>
      <c r="B18" s="2">
        <v>0.5</v>
      </c>
      <c r="C18">
        <v>6</v>
      </c>
      <c r="D18">
        <v>5.0999999999999996</v>
      </c>
      <c r="E18" t="s">
        <v>11</v>
      </c>
      <c r="F18" s="7">
        <f>(40.3581-37.3477)+(0.9654-0.9052)</f>
        <v>3.0705999999999971</v>
      </c>
    </row>
    <row r="19" spans="1:6" x14ac:dyDescent="0.45">
      <c r="A19" s="1" t="s">
        <v>14</v>
      </c>
      <c r="B19" s="2">
        <v>0.5</v>
      </c>
      <c r="C19">
        <v>6</v>
      </c>
      <c r="D19">
        <v>5.0999999999999996</v>
      </c>
      <c r="E19" t="s">
        <v>12</v>
      </c>
      <c r="F19" s="6">
        <f>(41.6563-39.3944)+(0.9838-0.8817)</f>
        <v>2.3640000000000043</v>
      </c>
    </row>
    <row r="20" spans="1:6" x14ac:dyDescent="0.45">
      <c r="A20" s="1" t="s">
        <v>14</v>
      </c>
      <c r="B20" s="2">
        <v>1</v>
      </c>
      <c r="C20">
        <v>7</v>
      </c>
      <c r="D20">
        <v>2.8</v>
      </c>
      <c r="E20" t="s">
        <v>10</v>
      </c>
      <c r="F20" s="3">
        <f>43.447-42.982</f>
        <v>0.46500000000000341</v>
      </c>
    </row>
    <row r="21" spans="1:6" x14ac:dyDescent="0.45">
      <c r="A21" s="1" t="s">
        <v>14</v>
      </c>
      <c r="B21" s="2">
        <v>1</v>
      </c>
      <c r="C21">
        <v>7</v>
      </c>
      <c r="D21">
        <v>2.8</v>
      </c>
      <c r="E21" t="s">
        <v>11</v>
      </c>
      <c r="F21" s="3">
        <f>38.9668-38.547</f>
        <v>0.41980000000000217</v>
      </c>
    </row>
    <row r="22" spans="1:6" x14ac:dyDescent="0.45">
      <c r="A22" s="1" t="s">
        <v>14</v>
      </c>
      <c r="B22" s="2">
        <v>1</v>
      </c>
      <c r="C22">
        <v>7</v>
      </c>
      <c r="D22">
        <v>2.8</v>
      </c>
      <c r="E22" t="s">
        <v>12</v>
      </c>
      <c r="F22" s="4">
        <f>38.7552-38.4156</f>
        <v>0.33960000000000434</v>
      </c>
    </row>
    <row r="23" spans="1:6" x14ac:dyDescent="0.45">
      <c r="A23" s="1" t="s">
        <v>14</v>
      </c>
      <c r="B23" s="2">
        <v>1</v>
      </c>
      <c r="C23">
        <v>8</v>
      </c>
      <c r="D23">
        <v>4.3</v>
      </c>
      <c r="E23" t="s">
        <v>10</v>
      </c>
      <c r="F23" s="5">
        <f>40.3349-40.0509</f>
        <v>0.28399999999999892</v>
      </c>
    </row>
    <row r="24" spans="1:6" x14ac:dyDescent="0.45">
      <c r="A24" s="1" t="s">
        <v>14</v>
      </c>
      <c r="B24" s="2">
        <v>1</v>
      </c>
      <c r="C24">
        <v>8</v>
      </c>
      <c r="D24">
        <v>4.3</v>
      </c>
      <c r="E24" t="s">
        <v>11</v>
      </c>
      <c r="F24" s="5">
        <f>38.8142-38.5681</f>
        <v>0.24609999999999843</v>
      </c>
    </row>
    <row r="25" spans="1:6" x14ac:dyDescent="0.45">
      <c r="A25" s="1" t="s">
        <v>14</v>
      </c>
      <c r="B25" s="2">
        <v>1</v>
      </c>
      <c r="C25">
        <v>8</v>
      </c>
      <c r="D25">
        <v>4.3</v>
      </c>
      <c r="E25" t="s">
        <v>12</v>
      </c>
      <c r="F25" s="6">
        <f>33.8548-33.5661</f>
        <v>0.28869999999999862</v>
      </c>
    </row>
    <row r="26" spans="1:6" x14ac:dyDescent="0.45">
      <c r="A26" s="1" t="s">
        <v>14</v>
      </c>
      <c r="B26" s="2">
        <v>1</v>
      </c>
      <c r="C26">
        <v>9</v>
      </c>
      <c r="D26">
        <v>5.0999999999999996</v>
      </c>
      <c r="E26" t="s">
        <v>10</v>
      </c>
      <c r="F26" s="5">
        <f>(41.739-39.8077)+(0.9468-0.886)</f>
        <v>1.9921000000000002</v>
      </c>
    </row>
    <row r="27" spans="1:6" x14ac:dyDescent="0.45">
      <c r="A27" s="1" t="s">
        <v>14</v>
      </c>
      <c r="B27" s="2">
        <v>1</v>
      </c>
      <c r="C27">
        <v>9</v>
      </c>
      <c r="D27">
        <v>5.0999999999999996</v>
      </c>
      <c r="E27" t="s">
        <v>11</v>
      </c>
      <c r="F27" s="7">
        <f>(39.949-37.4248)+(0.9286-0.9286)</f>
        <v>2.5242000000000004</v>
      </c>
    </row>
    <row r="28" spans="1:6" x14ac:dyDescent="0.45">
      <c r="A28" s="1" t="s">
        <v>14</v>
      </c>
      <c r="B28" s="2">
        <v>1</v>
      </c>
      <c r="C28">
        <v>9</v>
      </c>
      <c r="D28">
        <v>5.0999999999999996</v>
      </c>
      <c r="E28" t="s">
        <v>12</v>
      </c>
      <c r="F28" s="6">
        <f>(37.3286-35.5406)-(0.9201-0.87)</f>
        <v>1.7379000000000038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5D46-E45B-4ACF-AF00-8B80E4DDB7B6}">
  <dimension ref="A1:F28"/>
  <sheetViews>
    <sheetView workbookViewId="0">
      <selection activeCell="C11" sqref="C11"/>
    </sheetView>
  </sheetViews>
  <sheetFormatPr baseColWidth="10" defaultRowHeight="14.25" x14ac:dyDescent="0.45"/>
  <sheetData>
    <row r="1" spans="1:6" x14ac:dyDescent="0.45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4</v>
      </c>
    </row>
    <row r="2" spans="1:6" x14ac:dyDescent="0.45">
      <c r="A2" s="1" t="s">
        <v>15</v>
      </c>
      <c r="B2" s="2">
        <v>0</v>
      </c>
      <c r="C2">
        <v>1</v>
      </c>
      <c r="D2">
        <v>3.5</v>
      </c>
      <c r="E2" t="s">
        <v>10</v>
      </c>
      <c r="F2" s="3">
        <f>SUM(40.0625 - 38.8611)</f>
        <v>1.2013999999999996</v>
      </c>
    </row>
    <row r="3" spans="1:6" x14ac:dyDescent="0.45">
      <c r="A3" s="1" t="s">
        <v>15</v>
      </c>
      <c r="B3" s="2">
        <v>0</v>
      </c>
      <c r="C3">
        <v>1</v>
      </c>
      <c r="D3">
        <v>3.5</v>
      </c>
      <c r="E3" t="s">
        <v>11</v>
      </c>
      <c r="F3" s="3">
        <f>SUM(35.7496 - 34.1048)</f>
        <v>1.6448000000000036</v>
      </c>
    </row>
    <row r="4" spans="1:6" x14ac:dyDescent="0.45">
      <c r="A4" s="1" t="s">
        <v>15</v>
      </c>
      <c r="B4" s="2">
        <v>0</v>
      </c>
      <c r="C4">
        <v>1</v>
      </c>
      <c r="D4">
        <v>3.5</v>
      </c>
      <c r="E4" t="s">
        <v>12</v>
      </c>
      <c r="F4" s="4">
        <f>SUM(39.5235 - 38.3931)</f>
        <v>1.1304000000000016</v>
      </c>
    </row>
    <row r="5" spans="1:6" x14ac:dyDescent="0.45">
      <c r="A5" s="1" t="s">
        <v>15</v>
      </c>
      <c r="B5" s="2">
        <v>0</v>
      </c>
      <c r="C5">
        <v>2</v>
      </c>
      <c r="D5">
        <v>4.8</v>
      </c>
      <c r="E5" t="s">
        <v>10</v>
      </c>
      <c r="F5" s="3">
        <f>SUM(42.9496 - 41.1094)</f>
        <v>1.8401999999999958</v>
      </c>
    </row>
    <row r="6" spans="1:6" x14ac:dyDescent="0.45">
      <c r="A6" s="1" t="s">
        <v>15</v>
      </c>
      <c r="B6" s="2">
        <v>0</v>
      </c>
      <c r="C6">
        <v>2</v>
      </c>
      <c r="D6">
        <v>4.8</v>
      </c>
      <c r="E6" t="s">
        <v>11</v>
      </c>
      <c r="F6" s="3">
        <f>SUM(41.0219 - 39.2307)</f>
        <v>1.7912000000000035</v>
      </c>
    </row>
    <row r="7" spans="1:6" x14ac:dyDescent="0.45">
      <c r="A7" s="1" t="s">
        <v>15</v>
      </c>
      <c r="B7" s="2">
        <v>0</v>
      </c>
      <c r="C7">
        <v>2</v>
      </c>
      <c r="D7">
        <v>4.8</v>
      </c>
      <c r="E7" t="s">
        <v>12</v>
      </c>
      <c r="F7" s="4">
        <f>SUM(39.6001 - 37.7794)</f>
        <v>1.8206999999999951</v>
      </c>
    </row>
    <row r="8" spans="1:6" x14ac:dyDescent="0.45">
      <c r="A8" s="1" t="s">
        <v>15</v>
      </c>
      <c r="B8" s="2">
        <v>0</v>
      </c>
      <c r="C8">
        <v>3</v>
      </c>
      <c r="D8">
        <v>6</v>
      </c>
      <c r="E8" t="s">
        <v>10</v>
      </c>
      <c r="F8" s="5">
        <f>SUM(36.7625 - 35.2387)</f>
        <v>1.5238000000000014</v>
      </c>
    </row>
    <row r="9" spans="1:6" x14ac:dyDescent="0.45">
      <c r="A9" s="1" t="s">
        <v>15</v>
      </c>
      <c r="B9" s="2">
        <v>0</v>
      </c>
      <c r="C9">
        <v>3</v>
      </c>
      <c r="D9">
        <v>6</v>
      </c>
      <c r="E9" t="s">
        <v>11</v>
      </c>
      <c r="F9" s="5">
        <f>SUM(39.9876 - 38.3095)</f>
        <v>1.6781000000000006</v>
      </c>
    </row>
    <row r="10" spans="1:6" x14ac:dyDescent="0.45">
      <c r="A10" s="1" t="s">
        <v>15</v>
      </c>
      <c r="B10" s="2">
        <v>0</v>
      </c>
      <c r="C10">
        <v>3</v>
      </c>
      <c r="D10">
        <v>6</v>
      </c>
      <c r="E10" t="s">
        <v>12</v>
      </c>
      <c r="F10" s="6">
        <f>SUM(45.8528 - 44.1304)</f>
        <v>1.7224000000000004</v>
      </c>
    </row>
    <row r="11" spans="1:6" x14ac:dyDescent="0.45">
      <c r="A11" s="1" t="s">
        <v>15</v>
      </c>
      <c r="B11" s="2">
        <v>0.5</v>
      </c>
      <c r="C11">
        <v>4</v>
      </c>
      <c r="D11">
        <v>3.5</v>
      </c>
      <c r="E11" t="s">
        <v>10</v>
      </c>
      <c r="F11" s="3">
        <f>SUM(36.9432 - 36.7007)</f>
        <v>0.24249999999999972</v>
      </c>
    </row>
    <row r="12" spans="1:6" x14ac:dyDescent="0.45">
      <c r="A12" s="1" t="s">
        <v>15</v>
      </c>
      <c r="B12" s="2">
        <v>0.5</v>
      </c>
      <c r="C12">
        <v>4</v>
      </c>
      <c r="D12">
        <v>3.5</v>
      </c>
      <c r="E12" t="s">
        <v>11</v>
      </c>
      <c r="F12" s="3">
        <f>SUM(39.5274 - 39.0026)</f>
        <v>0.52479999999999905</v>
      </c>
    </row>
    <row r="13" spans="1:6" x14ac:dyDescent="0.45">
      <c r="A13" s="1" t="s">
        <v>15</v>
      </c>
      <c r="B13" s="2">
        <v>0.5</v>
      </c>
      <c r="C13">
        <v>4</v>
      </c>
      <c r="D13">
        <v>3.5</v>
      </c>
      <c r="E13" t="s">
        <v>12</v>
      </c>
      <c r="F13" s="4">
        <f>SUM(37.0405 - 36.7913)</f>
        <v>0.24920000000000186</v>
      </c>
    </row>
    <row r="14" spans="1:6" x14ac:dyDescent="0.45">
      <c r="A14" s="1" t="s">
        <v>15</v>
      </c>
      <c r="B14" s="2">
        <v>0.5</v>
      </c>
      <c r="C14">
        <v>5</v>
      </c>
      <c r="D14">
        <v>4.8</v>
      </c>
      <c r="E14" t="s">
        <v>10</v>
      </c>
      <c r="F14" s="5">
        <f>SUM(41.5038 - 39.9994)</f>
        <v>1.5043999999999969</v>
      </c>
    </row>
    <row r="15" spans="1:6" x14ac:dyDescent="0.45">
      <c r="A15" s="1" t="s">
        <v>15</v>
      </c>
      <c r="B15" s="2">
        <v>0.5</v>
      </c>
      <c r="C15">
        <v>5</v>
      </c>
      <c r="D15">
        <v>4.8</v>
      </c>
      <c r="E15" t="s">
        <v>11</v>
      </c>
      <c r="F15" s="3">
        <f>SUM(42.4889 - 40.0439)</f>
        <v>2.4450000000000003</v>
      </c>
    </row>
    <row r="16" spans="1:6" x14ac:dyDescent="0.45">
      <c r="A16" s="1" t="s">
        <v>15</v>
      </c>
      <c r="B16" s="2">
        <v>0.5</v>
      </c>
      <c r="C16">
        <v>5</v>
      </c>
      <c r="D16">
        <v>4.8</v>
      </c>
      <c r="E16" t="s">
        <v>12</v>
      </c>
      <c r="F16" s="4">
        <f>SUM(45.7047 - 43.3833)</f>
        <v>2.3214000000000041</v>
      </c>
    </row>
    <row r="17" spans="1:6" x14ac:dyDescent="0.45">
      <c r="A17" s="1" t="s">
        <v>15</v>
      </c>
      <c r="B17" s="2">
        <v>0.5</v>
      </c>
      <c r="C17">
        <v>6</v>
      </c>
      <c r="D17">
        <v>6</v>
      </c>
      <c r="E17" t="s">
        <v>10</v>
      </c>
      <c r="F17" s="9">
        <f>SUM(47.7292 - 44.5415)</f>
        <v>3.1876999999999995</v>
      </c>
    </row>
    <row r="18" spans="1:6" x14ac:dyDescent="0.45">
      <c r="A18" s="1" t="s">
        <v>15</v>
      </c>
      <c r="B18" s="2">
        <v>0.5</v>
      </c>
      <c r="C18">
        <v>6</v>
      </c>
      <c r="D18">
        <v>6</v>
      </c>
      <c r="E18" t="s">
        <v>11</v>
      </c>
      <c r="F18" s="9">
        <f>SUM(42.2291 - 38.73)</f>
        <v>3.4991000000000057</v>
      </c>
    </row>
    <row r="19" spans="1:6" x14ac:dyDescent="0.45">
      <c r="A19" s="1" t="s">
        <v>15</v>
      </c>
      <c r="B19" s="2">
        <v>0.5</v>
      </c>
      <c r="C19">
        <v>6</v>
      </c>
      <c r="D19">
        <v>6</v>
      </c>
      <c r="E19" t="s">
        <v>12</v>
      </c>
      <c r="F19" s="10">
        <f>SUM(38.8272 - 35.542)</f>
        <v>3.2851999999999961</v>
      </c>
    </row>
    <row r="20" spans="1:6" x14ac:dyDescent="0.45">
      <c r="A20" s="1" t="s">
        <v>15</v>
      </c>
      <c r="B20" s="2">
        <v>1</v>
      </c>
      <c r="C20">
        <v>7</v>
      </c>
      <c r="D20">
        <v>3.5</v>
      </c>
      <c r="E20" t="s">
        <v>10</v>
      </c>
      <c r="F20" s="3">
        <f>SUM(38.1577 - 37.5648)</f>
        <v>0.5929000000000002</v>
      </c>
    </row>
    <row r="21" spans="1:6" x14ac:dyDescent="0.45">
      <c r="A21" s="1" t="s">
        <v>15</v>
      </c>
      <c r="B21" s="2">
        <v>1</v>
      </c>
      <c r="C21">
        <v>7</v>
      </c>
      <c r="D21">
        <v>3.5</v>
      </c>
      <c r="E21" t="s">
        <v>11</v>
      </c>
      <c r="F21" s="3">
        <f>SUM(38.5746 - 38.2293)</f>
        <v>0.34529999999999461</v>
      </c>
    </row>
    <row r="22" spans="1:6" x14ac:dyDescent="0.45">
      <c r="A22" s="1" t="s">
        <v>15</v>
      </c>
      <c r="B22" s="2">
        <v>1</v>
      </c>
      <c r="C22">
        <v>7</v>
      </c>
      <c r="D22">
        <v>3.5</v>
      </c>
      <c r="E22" t="s">
        <v>12</v>
      </c>
      <c r="F22" s="4">
        <f>SUM(39.5862 - 39.2456)</f>
        <v>0.34059999999999491</v>
      </c>
    </row>
    <row r="23" spans="1:6" x14ac:dyDescent="0.45">
      <c r="A23" s="1" t="s">
        <v>15</v>
      </c>
      <c r="B23" s="2">
        <v>1</v>
      </c>
      <c r="C23">
        <v>8</v>
      </c>
      <c r="D23">
        <v>4.8</v>
      </c>
      <c r="E23" t="s">
        <v>10</v>
      </c>
      <c r="F23" s="3">
        <f>SUM(37.168 - 36.8626)</f>
        <v>0.30539999999999878</v>
      </c>
    </row>
    <row r="24" spans="1:6" x14ac:dyDescent="0.45">
      <c r="A24" s="1" t="s">
        <v>15</v>
      </c>
      <c r="B24" s="2">
        <v>1</v>
      </c>
      <c r="C24">
        <v>8</v>
      </c>
      <c r="D24">
        <v>4.8</v>
      </c>
      <c r="E24" t="s">
        <v>11</v>
      </c>
      <c r="F24" s="3">
        <f>SUM(44.3137 - 43.9751)</f>
        <v>0.33859999999999957</v>
      </c>
    </row>
    <row r="25" spans="1:6" x14ac:dyDescent="0.45">
      <c r="A25" s="1" t="s">
        <v>15</v>
      </c>
      <c r="B25" s="2">
        <v>1</v>
      </c>
      <c r="C25">
        <v>8</v>
      </c>
      <c r="D25">
        <v>4.8</v>
      </c>
      <c r="E25" t="s">
        <v>12</v>
      </c>
      <c r="F25" s="4">
        <f>SUM(39.0495 - 38.6819)</f>
        <v>0.36760000000000304</v>
      </c>
    </row>
    <row r="26" spans="1:6" x14ac:dyDescent="0.45">
      <c r="A26" s="1" t="s">
        <v>15</v>
      </c>
      <c r="B26" s="2">
        <v>1</v>
      </c>
      <c r="C26">
        <v>9</v>
      </c>
      <c r="D26">
        <v>6</v>
      </c>
      <c r="E26" t="s">
        <v>10</v>
      </c>
      <c r="F26" s="3">
        <f>SUM(40.9171 - 39.771)</f>
        <v>1.146099999999997</v>
      </c>
    </row>
    <row r="27" spans="1:6" x14ac:dyDescent="0.45">
      <c r="A27" s="1" t="s">
        <v>15</v>
      </c>
      <c r="B27" s="2">
        <v>1</v>
      </c>
      <c r="C27">
        <v>9</v>
      </c>
      <c r="D27">
        <v>6</v>
      </c>
      <c r="E27" t="s">
        <v>11</v>
      </c>
      <c r="F27" s="5">
        <f>SUM(39.1266 - 38.6058)</f>
        <v>0.52080000000000126</v>
      </c>
    </row>
    <row r="28" spans="1:6" x14ac:dyDescent="0.45">
      <c r="A28" s="1" t="s">
        <v>15</v>
      </c>
      <c r="B28" s="2">
        <v>1</v>
      </c>
      <c r="C28">
        <v>9</v>
      </c>
      <c r="D28">
        <v>6</v>
      </c>
      <c r="E28" t="s">
        <v>12</v>
      </c>
      <c r="F28" s="6">
        <f>SUM(37.0335 - 36.4381)</f>
        <v>0.59539999999999793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30A5-0067-40B8-B018-E9EA36126D56}">
  <dimension ref="A1:F11"/>
  <sheetViews>
    <sheetView workbookViewId="0">
      <selection sqref="A1:XFD1048576"/>
    </sheetView>
  </sheetViews>
  <sheetFormatPr baseColWidth="10" defaultRowHeight="14.25" x14ac:dyDescent="0.45"/>
  <sheetData>
    <row r="1" spans="1:6" x14ac:dyDescent="0.45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4</v>
      </c>
    </row>
    <row r="2" spans="1:6" x14ac:dyDescent="0.45">
      <c r="A2" s="1" t="s">
        <v>16</v>
      </c>
      <c r="B2" s="2">
        <v>0</v>
      </c>
      <c r="C2" t="s">
        <v>17</v>
      </c>
      <c r="D2">
        <v>6</v>
      </c>
      <c r="E2" t="s">
        <v>10</v>
      </c>
      <c r="F2" s="3">
        <f>(44.0275-(38.8595+0.6583))</f>
        <v>4.5097000000000094</v>
      </c>
    </row>
    <row r="3" spans="1:6" x14ac:dyDescent="0.45">
      <c r="A3" s="1" t="s">
        <v>16</v>
      </c>
      <c r="B3" s="2">
        <v>0</v>
      </c>
      <c r="C3" t="s">
        <v>17</v>
      </c>
      <c r="D3">
        <v>6</v>
      </c>
      <c r="E3" t="s">
        <v>11</v>
      </c>
      <c r="F3" s="3">
        <f>(43.1346-(39.0863+0.6685))</f>
        <v>3.3797999999999959</v>
      </c>
    </row>
    <row r="4" spans="1:6" x14ac:dyDescent="0.45">
      <c r="A4" s="1" t="s">
        <v>16</v>
      </c>
      <c r="B4" s="2">
        <v>0</v>
      </c>
      <c r="C4" t="s">
        <v>17</v>
      </c>
      <c r="D4">
        <v>6</v>
      </c>
      <c r="E4" t="s">
        <v>12</v>
      </c>
      <c r="F4" s="4">
        <f>(39.7842-(35.9968+0.6449))</f>
        <v>3.1424999999999983</v>
      </c>
    </row>
    <row r="5" spans="1:6" x14ac:dyDescent="0.45">
      <c r="A5" s="1" t="s">
        <v>16</v>
      </c>
      <c r="B5" s="2">
        <v>0.5</v>
      </c>
      <c r="C5" t="s">
        <v>18</v>
      </c>
      <c r="D5">
        <v>6</v>
      </c>
      <c r="E5" t="s">
        <v>10</v>
      </c>
      <c r="F5" s="3">
        <f>(49.1776-(45.1942+0.6609))</f>
        <v>3.322499999999998</v>
      </c>
    </row>
    <row r="6" spans="1:6" x14ac:dyDescent="0.45">
      <c r="A6" s="1" t="s">
        <v>16</v>
      </c>
      <c r="B6" s="2">
        <v>0.5</v>
      </c>
      <c r="C6" t="s">
        <v>18</v>
      </c>
      <c r="D6">
        <v>6</v>
      </c>
      <c r="E6" t="s">
        <v>11</v>
      </c>
      <c r="F6" s="3">
        <f>(38.243-(33.9544+0.6765))</f>
        <v>3.6121000000000052</v>
      </c>
    </row>
    <row r="7" spans="1:6" x14ac:dyDescent="0.45">
      <c r="A7" s="1" t="s">
        <v>16</v>
      </c>
      <c r="B7" s="2">
        <v>0.5</v>
      </c>
      <c r="C7" t="s">
        <v>18</v>
      </c>
      <c r="D7">
        <v>6</v>
      </c>
      <c r="E7" t="s">
        <v>12</v>
      </c>
      <c r="F7" s="4">
        <f>(43.0061-(38.3803+0.6671))</f>
        <v>3.9587000000000074</v>
      </c>
    </row>
    <row r="8" spans="1:6" x14ac:dyDescent="0.45">
      <c r="A8" s="1" t="s">
        <v>16</v>
      </c>
      <c r="B8" s="2">
        <v>1</v>
      </c>
      <c r="C8" t="s">
        <v>9</v>
      </c>
      <c r="D8">
        <v>6</v>
      </c>
      <c r="E8" t="s">
        <v>10</v>
      </c>
      <c r="F8" s="3">
        <f>(40.9928-(38.3028+0.6058))</f>
        <v>2.0842000000000027</v>
      </c>
    </row>
    <row r="9" spans="1:6" x14ac:dyDescent="0.45">
      <c r="A9" s="1" t="s">
        <v>16</v>
      </c>
      <c r="B9" s="2">
        <v>1</v>
      </c>
      <c r="C9" t="s">
        <v>9</v>
      </c>
      <c r="D9">
        <v>6</v>
      </c>
      <c r="E9" t="s">
        <v>11</v>
      </c>
      <c r="F9" s="3">
        <f>(35.9225-(33.4693))</f>
        <v>2.4532000000000025</v>
      </c>
    </row>
    <row r="10" spans="1:6" x14ac:dyDescent="0.45">
      <c r="A10" s="1" t="s">
        <v>16</v>
      </c>
      <c r="B10" s="2">
        <v>1</v>
      </c>
      <c r="C10" t="s">
        <v>9</v>
      </c>
      <c r="D10">
        <v>6</v>
      </c>
      <c r="E10" t="s">
        <v>12</v>
      </c>
      <c r="F10" s="4">
        <f>(40.2925-(37.6868+0.6043))</f>
        <v>2.0013999999999967</v>
      </c>
    </row>
    <row r="11" spans="1:6" x14ac:dyDescent="0.45">
      <c r="A1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05BB-0D93-4781-8DF6-24EEC211759E}">
  <dimension ref="A1:F11"/>
  <sheetViews>
    <sheetView tabSelected="1" workbookViewId="0">
      <selection activeCell="F8" sqref="F8:F10"/>
    </sheetView>
  </sheetViews>
  <sheetFormatPr baseColWidth="10" defaultRowHeight="14.25" x14ac:dyDescent="0.45"/>
  <sheetData>
    <row r="1" spans="1:6" x14ac:dyDescent="0.45">
      <c r="A1" t="s">
        <v>0</v>
      </c>
      <c r="B1" t="s">
        <v>2</v>
      </c>
      <c r="C1" t="s">
        <v>1</v>
      </c>
      <c r="D1" t="s">
        <v>3</v>
      </c>
      <c r="E1" t="s">
        <v>6</v>
      </c>
      <c r="F1" t="s">
        <v>4</v>
      </c>
    </row>
    <row r="2" spans="1:6" x14ac:dyDescent="0.45">
      <c r="A2" s="1" t="s">
        <v>19</v>
      </c>
      <c r="B2" s="2">
        <v>0</v>
      </c>
      <c r="C2" t="s">
        <v>17</v>
      </c>
      <c r="D2">
        <v>6</v>
      </c>
      <c r="E2" t="s">
        <v>10</v>
      </c>
      <c r="F2" s="3">
        <f>(40.7189-(38.81))</f>
        <v>1.9088999999999956</v>
      </c>
    </row>
    <row r="3" spans="1:6" x14ac:dyDescent="0.45">
      <c r="A3" s="1" t="s">
        <v>19</v>
      </c>
      <c r="B3" s="2">
        <v>0</v>
      </c>
      <c r="C3" t="s">
        <v>17</v>
      </c>
      <c r="D3">
        <v>6</v>
      </c>
      <c r="E3" t="s">
        <v>11</v>
      </c>
      <c r="F3" s="3">
        <f>(35.4171-(32.8497+0.6919))</f>
        <v>1.8755000000000024</v>
      </c>
    </row>
    <row r="4" spans="1:6" x14ac:dyDescent="0.45">
      <c r="A4" s="1" t="s">
        <v>19</v>
      </c>
      <c r="B4" s="2">
        <v>0</v>
      </c>
      <c r="C4" t="s">
        <v>17</v>
      </c>
      <c r="D4">
        <v>6</v>
      </c>
      <c r="E4" t="s">
        <v>12</v>
      </c>
      <c r="F4" s="4">
        <f>(39.2094-(36.3992+0.6865))</f>
        <v>2.1236999999999995</v>
      </c>
    </row>
    <row r="5" spans="1:6" x14ac:dyDescent="0.45">
      <c r="A5" s="1" t="s">
        <v>19</v>
      </c>
      <c r="B5" s="2">
        <v>0.5</v>
      </c>
      <c r="C5" t="s">
        <v>18</v>
      </c>
      <c r="D5">
        <v>6</v>
      </c>
      <c r="E5" t="s">
        <v>10</v>
      </c>
      <c r="F5" s="3">
        <f>(40.5856-(38.4401+0.6185))</f>
        <v>1.527000000000001</v>
      </c>
    </row>
    <row r="6" spans="1:6" x14ac:dyDescent="0.45">
      <c r="A6" s="1" t="s">
        <v>19</v>
      </c>
      <c r="B6" s="2">
        <v>0.5</v>
      </c>
      <c r="C6" t="s">
        <v>18</v>
      </c>
      <c r="D6">
        <v>6</v>
      </c>
      <c r="E6" t="s">
        <v>11</v>
      </c>
      <c r="F6" s="3">
        <f>(41.3993-(39.1894+0.6221))</f>
        <v>1.5877999999999943</v>
      </c>
    </row>
    <row r="7" spans="1:6" x14ac:dyDescent="0.45">
      <c r="A7" s="1" t="s">
        <v>19</v>
      </c>
      <c r="B7" s="2">
        <v>0.5</v>
      </c>
      <c r="C7" t="s">
        <v>18</v>
      </c>
      <c r="D7">
        <v>6</v>
      </c>
      <c r="E7" t="s">
        <v>12</v>
      </c>
      <c r="F7" s="4">
        <f>(45.202-(43.0334+0.6732))</f>
        <v>1.4953999999999965</v>
      </c>
    </row>
    <row r="8" spans="1:6" x14ac:dyDescent="0.45">
      <c r="A8" s="1" t="s">
        <v>19</v>
      </c>
      <c r="B8" s="2">
        <v>1</v>
      </c>
      <c r="C8" t="s">
        <v>9</v>
      </c>
      <c r="D8">
        <v>6</v>
      </c>
      <c r="E8" t="s">
        <v>10</v>
      </c>
      <c r="F8" s="3">
        <f>(42.2289-(40.2662+0.6155))</f>
        <v>1.3472000000000079</v>
      </c>
    </row>
    <row r="9" spans="1:6" x14ac:dyDescent="0.45">
      <c r="A9" s="1" t="s">
        <v>19</v>
      </c>
      <c r="B9" s="2">
        <v>1</v>
      </c>
      <c r="C9" t="s">
        <v>9</v>
      </c>
      <c r="D9">
        <v>6</v>
      </c>
      <c r="E9" t="s">
        <v>11</v>
      </c>
      <c r="F9" s="3">
        <f>(47.6022-(45.648+0.6892))</f>
        <v>1.2650000000000006</v>
      </c>
    </row>
    <row r="10" spans="1:6" x14ac:dyDescent="0.45">
      <c r="A10" s="1" t="s">
        <v>19</v>
      </c>
      <c r="B10" s="2">
        <v>1</v>
      </c>
      <c r="C10" t="s">
        <v>9</v>
      </c>
      <c r="D10">
        <v>6</v>
      </c>
      <c r="E10" t="s">
        <v>12</v>
      </c>
      <c r="F10" s="4">
        <f>(39.9563-(37.9145+0.6531))</f>
        <v>1.3887</v>
      </c>
    </row>
    <row r="11" spans="1:6" x14ac:dyDescent="0.45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PLDJ 2025</vt:lpstr>
      <vt:lpstr>PLDJ 2026-1</vt:lpstr>
      <vt:lpstr>GALU</vt:lpstr>
      <vt:lpstr>PHAD</vt:lpstr>
      <vt:lpstr>PLER 2026-1</vt:lpstr>
      <vt:lpstr>PLER 2026-2</vt:lpstr>
      <vt:lpstr>PYSA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García Agudelo</dc:creator>
  <cp:lastModifiedBy>David Garcia Agudelo</cp:lastModifiedBy>
  <dcterms:created xsi:type="dcterms:W3CDTF">2025-10-02T16:02:06Z</dcterms:created>
  <dcterms:modified xsi:type="dcterms:W3CDTF">2026-04-20T21:16:01Z</dcterms:modified>
</cp:coreProperties>
</file>